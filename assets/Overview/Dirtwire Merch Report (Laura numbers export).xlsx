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Merchandise Purchases - Merch P" sheetId="2" r:id="rId6"/>
    <sheet name="Item Information, Pricing, Cost" sheetId="3" r:id="rId7"/>
    <sheet name="Sales Tracking, Channel Analysi" sheetId="4" r:id="rId8"/>
    <sheet name="Sales Tracking, Channel Analys1" sheetId="5" r:id="rId9"/>
    <sheet name="Quadrants USA_CAN - North Ameri" sheetId="6" r:id="rId10"/>
    <sheet name="Performance Insights - Merch Pe" sheetId="7" r:id="rId11"/>
    <sheet name="Trends- Annual - Merch Trends" sheetId="8" r:id="rId12"/>
    <sheet name="Optimization Opportunities - Me" sheetId="9" r:id="rId13"/>
    <sheet name="Taxes" sheetId="10" r:id="rId14"/>
  </sheets>
</workbook>
</file>

<file path=xl/comments1.xml><?xml version="1.0" encoding="utf-8"?>
<comments xmlns="http://schemas.openxmlformats.org/spreadsheetml/2006/main">
  <authors>
    <author>Laura</author>
  </authors>
  <commentList>
    <comment ref="U17" authorId="0">
      <text>
        <r>
          <rPr>
            <sz val="11"/>
            <color indexed="8"/>
            <rFont val="Helvetica Neue"/>
          </rPr>
          <t xml:space="preserve">Laura:
Earplugs
Avg 15 sales/show = $55
60 shows/year = $3300/year 
With order of 1000 earplugs ($350)
</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<sst xmlns="http://schemas.openxmlformats.org/spreadsheetml/2006/main" uniqueCount="431">
  <si>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</si>
  <si>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</si>
  <si>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</si>
  <si>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</si>
  <si>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Merchandise Purchases</t>
  </si>
  <si>
    <t>Merch Purchasing</t>
  </si>
  <si>
    <t>Merchandise Purchases - Merch P</t>
  </si>
  <si>
    <t>Item</t>
  </si>
  <si>
    <t>Category</t>
  </si>
  <si>
    <t>SKU</t>
  </si>
  <si>
    <t>Supplier/Manufacturer</t>
  </si>
  <si>
    <t>Date Purchased</t>
  </si>
  <si>
    <t>Units Purchased</t>
  </si>
  <si>
    <t>Printing/Manufacturing Cost</t>
  </si>
  <si>
    <t>Packaging/Shipping Cost</t>
  </si>
  <si>
    <t>Wholesale Cost per Unit (no tax)</t>
  </si>
  <si>
    <t>Tax Paid</t>
  </si>
  <si>
    <t>Wholesale Cost per Unit (inc. tax)</t>
  </si>
  <si>
    <t>Total Cost</t>
  </si>
  <si>
    <r>
      <rPr>
        <b val="1"/>
        <sz val="10"/>
        <color indexed="8"/>
        <rFont val="Helvetica Neue"/>
      </rPr>
      <t>Volume (inch)</t>
    </r>
    <r>
      <rPr>
        <b val="1"/>
        <vertAlign val="superscript"/>
        <sz val="10"/>
        <color indexed="8"/>
        <rFont val="Helvetica Neue"/>
      </rPr>
      <t>3  L*W*H</t>
    </r>
  </si>
  <si>
    <t>Weight (grams)</t>
  </si>
  <si>
    <t>Grams to Pounds (Lbs)</t>
  </si>
  <si>
    <t>Weight (lbs)</t>
  </si>
  <si>
    <t>Compactness Ratio (in³/lb)  [Lower=more compact]</t>
  </si>
  <si>
    <t>Retail Price per Unit</t>
  </si>
  <si>
    <t>Gross Profit per Unit</t>
  </si>
  <si>
    <t>Profit Margin (%)</t>
  </si>
  <si>
    <t>Profit Margin Rating</t>
  </si>
  <si>
    <t>Brand Value (1-3)   [1= Essential;     2= Novelty;  3= Not Essential]</t>
  </si>
  <si>
    <t>Energetic Ease to Manufacture/Order/Transport (1-3)  [1=Easiest;  2=Takes some energy 3=Pain in the Ass]</t>
  </si>
  <si>
    <t>Product Rating (Compactness Ratio*Brand Value*Energetic Cost)  [Lower=Better]</t>
  </si>
  <si>
    <t>Dan Moi</t>
  </si>
  <si>
    <t>Jaw Harp</t>
  </si>
  <si>
    <t>Amazon</t>
  </si>
  <si>
    <t>Russian w/ Case</t>
  </si>
  <si>
    <t>Mushroom Necklace</t>
  </si>
  <si>
    <t>Ocarina</t>
  </si>
  <si>
    <t>Bolo</t>
  </si>
  <si>
    <t>Scorpion</t>
  </si>
  <si>
    <t>Mini Harmonica</t>
  </si>
  <si>
    <t>Harmonica</t>
  </si>
  <si>
    <t>Flower of Life</t>
  </si>
  <si>
    <t>Ring</t>
  </si>
  <si>
    <t>Witches Knot</t>
  </si>
  <si>
    <t>Assorted Guitar Picks</t>
  </si>
  <si>
    <t>Guitar Picks</t>
  </si>
  <si>
    <t>Etsy Seller</t>
  </si>
  <si>
    <t>Sept 24, 2025</t>
  </si>
  <si>
    <t>Earplugs w/Case</t>
  </si>
  <si>
    <t>Earplugs</t>
  </si>
  <si>
    <t>Sept, 2025</t>
  </si>
  <si>
    <t>Item Information, Pricing, Cost</t>
  </si>
  <si>
    <t>Merch Master Chart</t>
  </si>
  <si>
    <t>Date Introduced</t>
  </si>
  <si>
    <t>Compactness Ratio [Lower=more compact]</t>
  </si>
  <si>
    <t>Assorted</t>
  </si>
  <si>
    <t>UK on Etsy</t>
  </si>
  <si>
    <t>Sept 24</t>
  </si>
  <si>
    <t>Russian w/Case</t>
  </si>
  <si>
    <t>Hoodie</t>
  </si>
  <si>
    <t>Ram Zip</t>
  </si>
  <si>
    <t>Item 2</t>
  </si>
  <si>
    <t>Item 3</t>
  </si>
  <si>
    <t>Item 4</t>
  </si>
  <si>
    <t>Item 5</t>
  </si>
  <si>
    <t>T-Shirt</t>
  </si>
  <si>
    <t>Item 6</t>
  </si>
  <si>
    <t>Item 7</t>
  </si>
  <si>
    <t>Item 8</t>
  </si>
  <si>
    <t>Item 9</t>
  </si>
  <si>
    <t>Item 10</t>
  </si>
  <si>
    <t>Sales Tracking, Channel Analysis</t>
  </si>
  <si>
    <t>Dirtwire Merch Sales 2024</t>
  </si>
  <si>
    <t>Sales Tracking, Channel Analysi</t>
  </si>
  <si>
    <t>Day</t>
  </si>
  <si>
    <t>Date</t>
  </si>
  <si>
    <t>City, ST</t>
  </si>
  <si>
    <t>Venue</t>
  </si>
  <si>
    <t>Quadrant of USA</t>
  </si>
  <si>
    <t>Items</t>
  </si>
  <si>
    <t>Total Units Sold</t>
  </si>
  <si>
    <t>Total Gross Revenue (Units Sold * Retail Price)</t>
  </si>
  <si>
    <t>Total Cost Goods Sold (COGS) (Units sold * Total Cost/Unit)</t>
  </si>
  <si>
    <t>Gross Profit (Total Gross Revenue - Total COGS)</t>
  </si>
  <si>
    <t>Tuesday</t>
  </si>
  <si>
    <t>January 9</t>
  </si>
  <si>
    <t>Ashland, OR</t>
  </si>
  <si>
    <t>Ashland Armory</t>
  </si>
  <si>
    <t>NW</t>
  </si>
  <si>
    <t>Jaw Harp Russian w.Case</t>
  </si>
  <si>
    <t>Hoodie Cactus Zip</t>
  </si>
  <si>
    <t>Stickers</t>
  </si>
  <si>
    <t>Vinyl Electric River</t>
  </si>
  <si>
    <t>Kalimba</t>
  </si>
  <si>
    <t>Tee Purple Mush</t>
  </si>
  <si>
    <t>Vinyl Dirtwire Debut</t>
  </si>
  <si>
    <t>Vinyl Dirtwire (debut)</t>
  </si>
  <si>
    <t>Tee Cactus</t>
  </si>
  <si>
    <t xml:space="preserve">Jaw Harp Morchanga </t>
  </si>
  <si>
    <t>Hoodie Elk</t>
  </si>
  <si>
    <t>Hoodie 4 Directions B.</t>
  </si>
  <si>
    <t>Hoodie Joshua Tree</t>
  </si>
  <si>
    <t>Hoodie 4 Directions W.</t>
  </si>
  <si>
    <t>Kalimba Hollow</t>
  </si>
  <si>
    <t>Pin Jawharp</t>
  </si>
  <si>
    <t>Bandana 4 Directions</t>
  </si>
  <si>
    <t>Tank Top Geo Ram</t>
  </si>
  <si>
    <t>Skull Whistle</t>
  </si>
  <si>
    <t>Booty Shorts</t>
  </si>
  <si>
    <t>Tee Peach</t>
  </si>
  <si>
    <t xml:space="preserve">Tee Ghostcatcher </t>
  </si>
  <si>
    <t>Poster</t>
  </si>
  <si>
    <t>Pin Ghostcatcher</t>
  </si>
  <si>
    <t>Tee Elk</t>
  </si>
  <si>
    <t>Jaw Harp Dan Moi</t>
  </si>
  <si>
    <t>Harmonica Mini</t>
  </si>
  <si>
    <t>Tank Purple</t>
  </si>
  <si>
    <t>Vinyl Ghostcatcher</t>
  </si>
  <si>
    <t>Egg Shaker</t>
  </si>
  <si>
    <t>Wednesday</t>
  </si>
  <si>
    <t>January 10</t>
  </si>
  <si>
    <t>Bend, OR</t>
  </si>
  <si>
    <t>Midtown</t>
  </si>
  <si>
    <t>Jaw Harp Russian</t>
  </si>
  <si>
    <t>Mushroom Lights</t>
  </si>
  <si>
    <t>Tee Ram</t>
  </si>
  <si>
    <t>Thursday</t>
  </si>
  <si>
    <t>January 11</t>
  </si>
  <si>
    <t>Portland, OR</t>
  </si>
  <si>
    <t>Crystal Ballroom</t>
  </si>
  <si>
    <t>Keychain</t>
  </si>
  <si>
    <t>Bucket Hat</t>
  </si>
  <si>
    <t>Grey Hat</t>
  </si>
  <si>
    <t>Kalimba Handmade</t>
  </si>
  <si>
    <t>Kalimba Necklace</t>
  </si>
  <si>
    <t>Crop Top W.</t>
  </si>
  <si>
    <t>Crop Top B.</t>
  </si>
  <si>
    <t>Friday</t>
  </si>
  <si>
    <t>January 12</t>
  </si>
  <si>
    <t>Seattle, WA</t>
  </si>
  <si>
    <t>Showbox SODO</t>
  </si>
  <si>
    <t>Saturday</t>
  </si>
  <si>
    <t>January 13</t>
  </si>
  <si>
    <t>Spokane, WA</t>
  </si>
  <si>
    <t>Knitting Factory</t>
  </si>
  <si>
    <t>Sunday</t>
  </si>
  <si>
    <t>January 14</t>
  </si>
  <si>
    <t>Bellingham, WA</t>
  </si>
  <si>
    <t>Wild Buffalo</t>
  </si>
  <si>
    <t>January 17</t>
  </si>
  <si>
    <t>Boise, ID</t>
  </si>
  <si>
    <t>January 18</t>
  </si>
  <si>
    <t>Salt Lake City, UT</t>
  </si>
  <si>
    <t>The Depot</t>
  </si>
  <si>
    <t>SW</t>
  </si>
  <si>
    <t>January 19</t>
  </si>
  <si>
    <t>Bozeman, MT</t>
  </si>
  <si>
    <t>The Elm</t>
  </si>
  <si>
    <t>January 20</t>
  </si>
  <si>
    <t>Missoula, MT</t>
  </si>
  <si>
    <t>The Wilma</t>
  </si>
  <si>
    <t>January 21</t>
  </si>
  <si>
    <t>Jackson Hole, WY</t>
  </si>
  <si>
    <t>Mangy Moose</t>
  </si>
  <si>
    <t>MW</t>
  </si>
  <si>
    <t>February 2</t>
  </si>
  <si>
    <t>Joshua Tree, CA</t>
  </si>
  <si>
    <t>Pappy and Harriets</t>
  </si>
  <si>
    <t>February 3</t>
  </si>
  <si>
    <t>Santa Barbara, CA</t>
  </si>
  <si>
    <t>SOHO</t>
  </si>
  <si>
    <t>February 13</t>
  </si>
  <si>
    <t>Santa Fe, NM</t>
  </si>
  <si>
    <t>Meow Wolf</t>
  </si>
  <si>
    <t>February 14</t>
  </si>
  <si>
    <t>Durango, CO</t>
  </si>
  <si>
    <t>Animas</t>
  </si>
  <si>
    <t>February 15</t>
  </si>
  <si>
    <t>Aspen, CO</t>
  </si>
  <si>
    <t>Belly Up</t>
  </si>
  <si>
    <t>February 17</t>
  </si>
  <si>
    <t>Denver, CO</t>
  </si>
  <si>
    <t>Mission Ballroom</t>
  </si>
  <si>
    <t>February 18</t>
  </si>
  <si>
    <t>Crested Butte, CO</t>
  </si>
  <si>
    <t>Public House</t>
  </si>
  <si>
    <t>February 28</t>
  </si>
  <si>
    <t>Jacksonville, FL</t>
  </si>
  <si>
    <t>Underbelly</t>
  </si>
  <si>
    <t>SE</t>
  </si>
  <si>
    <t>February 29</t>
  </si>
  <si>
    <t>Pensacola, FL</t>
  </si>
  <si>
    <t>Vinyl</t>
  </si>
  <si>
    <t>March 1</t>
  </si>
  <si>
    <t>Orlando, FL</t>
  </si>
  <si>
    <t>Abbey</t>
  </si>
  <si>
    <t>March 2</t>
  </si>
  <si>
    <t>Tampa, FL</t>
  </si>
  <si>
    <t>New World Brewery</t>
  </si>
  <si>
    <t>April 10</t>
  </si>
  <si>
    <t>Charleston, SC</t>
  </si>
  <si>
    <t>Pourhouse</t>
  </si>
  <si>
    <t>April 11</t>
  </si>
  <si>
    <t>Woodbury, TN</t>
  </si>
  <si>
    <t>Short Mountain Moonshine Distillery</t>
  </si>
  <si>
    <t>DS</t>
  </si>
  <si>
    <t>April 12</t>
  </si>
  <si>
    <t>Memphis, TN</t>
  </si>
  <si>
    <t>Lafayettes</t>
  </si>
  <si>
    <t>April 13</t>
  </si>
  <si>
    <t>Louisville, KY</t>
  </si>
  <si>
    <t>Zanzabar</t>
  </si>
  <si>
    <t>April 16</t>
  </si>
  <si>
    <t>Chapel Hil, NC</t>
  </si>
  <si>
    <t>Local 506</t>
  </si>
  <si>
    <t>April 18</t>
  </si>
  <si>
    <t>Richmond, VA</t>
  </si>
  <si>
    <t>Richmond Music Hall</t>
  </si>
  <si>
    <t>April 19</t>
  </si>
  <si>
    <t>Baltimore, MD</t>
  </si>
  <si>
    <t>Soundstage</t>
  </si>
  <si>
    <t>NE</t>
  </si>
  <si>
    <t>April 20</t>
  </si>
  <si>
    <t>Ithaca, NY</t>
  </si>
  <si>
    <t>Deep Dive</t>
  </si>
  <si>
    <t>April 25</t>
  </si>
  <si>
    <t>Cumberland, BC</t>
  </si>
  <si>
    <t>Waverly Hotel</t>
  </si>
  <si>
    <t>CW</t>
  </si>
  <si>
    <t>April 26</t>
  </si>
  <si>
    <t>Vancouver, BC</t>
  </si>
  <si>
    <t>Hollywood Theatre</t>
  </si>
  <si>
    <t>April 27</t>
  </si>
  <si>
    <t>Nelson, BC</t>
  </si>
  <si>
    <t>Spirit Bar</t>
  </si>
  <si>
    <t>April 28</t>
  </si>
  <si>
    <t>May 1</t>
  </si>
  <si>
    <t>Buffalo, NY</t>
  </si>
  <si>
    <t>Iron Works</t>
  </si>
  <si>
    <t>May 2</t>
  </si>
  <si>
    <t>Pawtucket, RI</t>
  </si>
  <si>
    <t>The Met</t>
  </si>
  <si>
    <t>May 3</t>
  </si>
  <si>
    <t>Burlington, VT</t>
  </si>
  <si>
    <t>Higher Ground</t>
  </si>
  <si>
    <t>May 4</t>
  </si>
  <si>
    <t>Broad Brook, CT</t>
  </si>
  <si>
    <t>Broad Brook Opera House</t>
  </si>
  <si>
    <t>May 5</t>
  </si>
  <si>
    <t>Albany, NY</t>
  </si>
  <si>
    <t>Lark Hall</t>
  </si>
  <si>
    <t>July 20</t>
  </si>
  <si>
    <t>Morrison, CO</t>
  </si>
  <si>
    <t>Red Rocks Amphitheatre</t>
  </si>
  <si>
    <t>August 23</t>
  </si>
  <si>
    <t>Crystal Bay, NV</t>
  </si>
  <si>
    <t>Crystal Bay Club Casino - Crown Room</t>
  </si>
  <si>
    <t>August 24</t>
  </si>
  <si>
    <t>Grass Valley, CA</t>
  </si>
  <si>
    <t>The Center for the Arts</t>
  </si>
  <si>
    <t>October 9</t>
  </si>
  <si>
    <t>Columbus, OH</t>
  </si>
  <si>
    <t>Summit</t>
  </si>
  <si>
    <t>October 10</t>
  </si>
  <si>
    <t>Chicago, IL</t>
  </si>
  <si>
    <t>Chop Shop</t>
  </si>
  <si>
    <t>October 11</t>
  </si>
  <si>
    <t>Madison, WI</t>
  </si>
  <si>
    <t>Majestic Theatre</t>
  </si>
  <si>
    <t>October 12</t>
  </si>
  <si>
    <t>Grand Rapids, MI</t>
  </si>
  <si>
    <t>The Stache at the Intersection</t>
  </si>
  <si>
    <t>October 25</t>
  </si>
  <si>
    <t>Asheville, NC</t>
  </si>
  <si>
    <t>Orange Peel</t>
  </si>
  <si>
    <t>October 26</t>
  </si>
  <si>
    <t>Knoxville, TN</t>
  </si>
  <si>
    <t>The 808 (outdoor)</t>
  </si>
  <si>
    <t>October 27</t>
  </si>
  <si>
    <t>Lousiville, KY</t>
  </si>
  <si>
    <t>October 29</t>
  </si>
  <si>
    <t>Cleveland, OH</t>
  </si>
  <si>
    <t>Mahall's</t>
  </si>
  <si>
    <t>October 30</t>
  </si>
  <si>
    <t>Detroit, MI</t>
  </si>
  <si>
    <t>The Magic Stick</t>
  </si>
  <si>
    <t>October 31</t>
  </si>
  <si>
    <t>Milwaukee, WI</t>
  </si>
  <si>
    <t>Vivarium</t>
  </si>
  <si>
    <t>November 1</t>
  </si>
  <si>
    <t>Minneapolis, MN</t>
  </si>
  <si>
    <t>First Avenue</t>
  </si>
  <si>
    <t>November 2</t>
  </si>
  <si>
    <t>Iowa City, IA</t>
  </si>
  <si>
    <t>Wildwood</t>
  </si>
  <si>
    <t>November 21</t>
  </si>
  <si>
    <t>Winnipeg, MB</t>
  </si>
  <si>
    <t>Burton Cummings Theatre</t>
  </si>
  <si>
    <t>CE</t>
  </si>
  <si>
    <t>November 22</t>
  </si>
  <si>
    <t>Edmonton, AB</t>
  </si>
  <si>
    <t>Midway Music Hall</t>
  </si>
  <si>
    <t>CP</t>
  </si>
  <si>
    <t>November 23</t>
  </si>
  <si>
    <t>Calgary, AB</t>
  </si>
  <si>
    <t>Palace Theatre</t>
  </si>
  <si>
    <t>Sales Tracking, Channel Analysis- New</t>
  </si>
  <si>
    <t>Sales Tracking, Channel Analys1</t>
  </si>
  <si>
    <t>Quadrant of USA/CAN</t>
  </si>
  <si>
    <t>Attendance</t>
  </si>
  <si>
    <t>Total Sales</t>
  </si>
  <si>
    <t>$/Head</t>
  </si>
  <si>
    <t># 1 Selling Item</t>
  </si>
  <si>
    <t>Notes/Recommendations</t>
  </si>
  <si>
    <t>Quadrants USA/CAN</t>
  </si>
  <si>
    <t>North American Regions</t>
  </si>
  <si>
    <t>Quadrants USA_CAN - North Ameri</t>
  </si>
  <si>
    <t>Shorthand</t>
  </si>
  <si>
    <t>Regions</t>
  </si>
  <si>
    <t xml:space="preserve">Deep South </t>
  </si>
  <si>
    <t>AL</t>
  </si>
  <si>
    <t>AR</t>
  </si>
  <si>
    <t>KY</t>
  </si>
  <si>
    <t>LA</t>
  </si>
  <si>
    <t>MS</t>
  </si>
  <si>
    <t>TN</t>
  </si>
  <si>
    <t>Midwest</t>
  </si>
  <si>
    <t>CO</t>
  </si>
  <si>
    <t>IA</t>
  </si>
  <si>
    <t>IL</t>
  </si>
  <si>
    <t>IN</t>
  </si>
  <si>
    <t>KS</t>
  </si>
  <si>
    <t>MI</t>
  </si>
  <si>
    <t>MN</t>
  </si>
  <si>
    <t>MO</t>
  </si>
  <si>
    <t>ND</t>
  </si>
  <si>
    <t>OK</t>
  </si>
  <si>
    <t>SD</t>
  </si>
  <si>
    <t>WI</t>
  </si>
  <si>
    <t>WY</t>
  </si>
  <si>
    <t>CT</t>
  </si>
  <si>
    <t>MA</t>
  </si>
  <si>
    <t>MD</t>
  </si>
  <si>
    <t>ME</t>
  </si>
  <si>
    <t>NH</t>
  </si>
  <si>
    <t>NJ</t>
  </si>
  <si>
    <t>NY</t>
  </si>
  <si>
    <t>OH</t>
  </si>
  <si>
    <t>PA</t>
  </si>
  <si>
    <t>RI</t>
  </si>
  <si>
    <t>VT</t>
  </si>
  <si>
    <t>WV</t>
  </si>
  <si>
    <t>FL</t>
  </si>
  <si>
    <t>GA</t>
  </si>
  <si>
    <t>NC</t>
  </si>
  <si>
    <t>SC</t>
  </si>
  <si>
    <t>VA</t>
  </si>
  <si>
    <t>AK</t>
  </si>
  <si>
    <t>ID</t>
  </si>
  <si>
    <t>MT</t>
  </si>
  <si>
    <t>OR</t>
  </si>
  <si>
    <t>WA</t>
  </si>
  <si>
    <t>AS</t>
  </si>
  <si>
    <t>AZ</t>
  </si>
  <si>
    <t>CA</t>
  </si>
  <si>
    <t>HI</t>
  </si>
  <si>
    <t>NM</t>
  </si>
  <si>
    <t>NV</t>
  </si>
  <si>
    <t>TX</t>
  </si>
  <si>
    <t>UT</t>
  </si>
  <si>
    <t>CAN West</t>
  </si>
  <si>
    <t>BC</t>
  </si>
  <si>
    <t>YK</t>
  </si>
  <si>
    <t>CAN Prairies</t>
  </si>
  <si>
    <t>AB</t>
  </si>
  <si>
    <t>MB</t>
  </si>
  <si>
    <t>SK</t>
  </si>
  <si>
    <t>CAN East</t>
  </si>
  <si>
    <t>NB</t>
  </si>
  <si>
    <t>NL</t>
  </si>
  <si>
    <t>NS</t>
  </si>
  <si>
    <t>ON</t>
  </si>
  <si>
    <t>PE</t>
  </si>
  <si>
    <t>QC</t>
  </si>
  <si>
    <t>CN</t>
  </si>
  <si>
    <t>CAN North</t>
  </si>
  <si>
    <t>NT</t>
  </si>
  <si>
    <t>NU</t>
  </si>
  <si>
    <t>Performance Insights</t>
  </si>
  <si>
    <t>Merch Performance Insights</t>
  </si>
  <si>
    <t>Performance Insights - Merch Pe</t>
  </si>
  <si>
    <t>Top Selling Items (Units Sold)</t>
  </si>
  <si>
    <t>Top Selling Items (Revenue)</t>
  </si>
  <si>
    <t>Top Gross Profit</t>
  </si>
  <si>
    <t>Highest Margin Items</t>
  </si>
  <si>
    <t xml:space="preserve"> </t>
  </si>
  <si>
    <t>Lowest Margin Items</t>
  </si>
  <si>
    <t>Trends- Annual</t>
  </si>
  <si>
    <t>Merch Trends</t>
  </si>
  <si>
    <t>Trends- Annual - Merch Trends</t>
  </si>
  <si>
    <t>Sales by Month</t>
  </si>
  <si>
    <t>Sales by Quarter</t>
  </si>
  <si>
    <t>Sales by Season</t>
  </si>
  <si>
    <t>Design Popularity over time</t>
  </si>
  <si>
    <t>Design Popularity by Demographic</t>
  </si>
  <si>
    <t>Optimization Opportunities</t>
  </si>
  <si>
    <t>Merch Optimization</t>
  </si>
  <si>
    <t>Optimization Opportunities - Me</t>
  </si>
  <si>
    <t>Suggested Price Adjustments</t>
  </si>
  <si>
    <t>Item Bundling suggestions (upsell)</t>
  </si>
  <si>
    <t>New Merch Item Ideas</t>
  </si>
  <si>
    <t>Pashminas Fans Guitar Picks Posters of Cymatic projections of Dirtwire Songs Baby Onesies High Quality bandanas Koozies Rolling Papers Bumper Stickers</t>
  </si>
  <si>
    <t>Best Score Rating</t>
  </si>
  <si>
    <t>Worst Score Rating</t>
  </si>
  <si>
    <t>Customer Feedback</t>
  </si>
  <si>
    <t>Supplier Notes</t>
  </si>
  <si>
    <t>Taxes</t>
  </si>
  <si>
    <t>Table 1</t>
  </si>
  <si>
    <t>Location</t>
  </si>
  <si>
    <t>Tax Rate</t>
  </si>
  <si>
    <t>Tax Amount</t>
  </si>
  <si>
    <t>Notes</t>
  </si>
  <si>
    <r>
      <rPr>
        <b val="1"/>
        <sz val="12"/>
        <color indexed="8"/>
        <rFont val="Helvetica"/>
      </rPr>
      <t>Oregon</t>
    </r>
    <r>
      <rPr>
        <sz val="12"/>
        <color indexed="8"/>
        <rFont val="Helvetica"/>
      </rPr>
      <t xml:space="preserve"> </t>
    </r>
    <r>
      <rPr>
        <i val="1"/>
        <sz val="12"/>
        <color indexed="8"/>
        <rFont val="Helvetica"/>
      </rPr>
      <t>(also Delaware, Montana, New Hampshire)</t>
    </r>
  </si>
  <si>
    <t>No state or local sales tax</t>
  </si>
  <si>
    <t>Boulder, CO</t>
  </si>
  <si>
    <t>Lower than CA due to smaller local taxes</t>
  </si>
  <si>
    <t>California</t>
  </si>
  <si>
    <t>Your original order; high local rate area</t>
  </si>
  <si>
    <t>Slightly higher than CA; among highest in U.S.</t>
  </si>
  <si>
    <t>BC, Canada</t>
  </si>
  <si>
    <t>GST (5%) + PST (7%) combined</t>
  </si>
</sst>
</file>

<file path=xl/styles.xml><?xml version="1.0" encoding="utf-8"?>
<styleSheet xmlns="http://schemas.openxmlformats.org/spreadsheetml/2006/main">
  <numFmts count="7">
    <numFmt numFmtId="0" formatCode="General"/>
    <numFmt numFmtId="59" formatCode="mmmm d, yyyy"/>
    <numFmt numFmtId="60" formatCode="[$CAD]0.00"/>
    <numFmt numFmtId="61" formatCode="0%_);\(0%\)"/>
    <numFmt numFmtId="62" formatCode="0_);\(0\)"/>
    <numFmt numFmtId="63" formatCode="0.0#%"/>
    <numFmt numFmtId="64" formatCode="[$CAD]#,##0.00"/>
  </numFmts>
  <fonts count="13">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b val="1"/>
      <vertAlign val="superscript"/>
      <sz val="10"/>
      <color indexed="8"/>
      <name val="Helvetica Neue"/>
    </font>
    <font>
      <b val="1"/>
      <sz val="10"/>
      <color indexed="8"/>
      <name val="Helvetica"/>
    </font>
    <font>
      <sz val="11"/>
      <color indexed="8"/>
      <name val="Helvetica Neue"/>
    </font>
    <font>
      <sz val="10"/>
      <color indexed="8"/>
      <name val="Helvetica"/>
    </font>
    <font>
      <b val="1"/>
      <sz val="10"/>
      <color indexed="24"/>
      <name val="Helvetica"/>
    </font>
    <font>
      <b val="1"/>
      <sz val="12"/>
      <color indexed="8"/>
      <name val="Helvetica"/>
    </font>
    <font>
      <i val="1"/>
      <sz val="12"/>
      <color indexed="8"/>
      <name val="Helvetica"/>
    </font>
    <font>
      <sz val="12"/>
      <color indexed="8"/>
      <name val="Helvetica"/>
    </font>
  </fonts>
  <fills count="1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s>
  <borders count="39">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medium">
        <color indexed="8"/>
      </bottom>
      <diagonal/>
    </border>
    <border>
      <left style="thin">
        <color indexed="13"/>
      </left>
      <right style="thin">
        <color indexed="13"/>
      </right>
      <top style="medium">
        <color indexed="8"/>
      </top>
      <bottom style="thin">
        <color indexed="14"/>
      </bottom>
      <diagonal/>
    </border>
    <border>
      <left style="thin">
        <color indexed="13"/>
      </left>
      <right style="thin">
        <color indexed="13"/>
      </right>
      <top style="thin">
        <color indexed="14"/>
      </top>
      <bottom style="medium">
        <color indexed="8"/>
      </bottom>
      <diagonal/>
    </border>
    <border>
      <left style="thin">
        <color indexed="13"/>
      </left>
      <right style="thin">
        <color indexed="14"/>
      </right>
      <top style="thin">
        <color indexed="14"/>
      </top>
      <bottom style="medium">
        <color indexed="8"/>
      </bottom>
      <diagonal/>
    </border>
    <border>
      <left style="thin">
        <color indexed="14"/>
      </left>
      <right style="thin">
        <color indexed="13"/>
      </right>
      <top style="thin">
        <color indexed="14"/>
      </top>
      <bottom style="medium">
        <color indexed="8"/>
      </bottom>
      <diagonal/>
    </border>
    <border>
      <left style="thin">
        <color indexed="13"/>
      </left>
      <right style="thin">
        <color indexed="14"/>
      </right>
      <top style="thin">
        <color indexed="13"/>
      </top>
      <bottom style="medium">
        <color indexed="8"/>
      </bottom>
      <diagonal/>
    </border>
    <border>
      <left style="thin">
        <color indexed="14"/>
      </left>
      <right style="thin">
        <color indexed="13"/>
      </right>
      <top style="thin">
        <color indexed="13"/>
      </top>
      <bottom style="medium">
        <color indexed="8"/>
      </bottom>
      <diagonal/>
    </border>
    <border>
      <left style="thin">
        <color indexed="13"/>
      </left>
      <right style="thin">
        <color indexed="13"/>
      </right>
      <top style="medium">
        <color indexed="8"/>
      </top>
      <bottom style="medium">
        <color indexed="8"/>
      </bottom>
      <diagonal/>
    </border>
    <border>
      <left style="thin">
        <color indexed="13"/>
      </left>
      <right style="thin">
        <color indexed="14"/>
      </right>
      <top style="medium">
        <color indexed="8"/>
      </top>
      <bottom style="medium">
        <color indexed="8"/>
      </bottom>
      <diagonal/>
    </border>
    <border>
      <left style="thin">
        <color indexed="14"/>
      </left>
      <right style="thin">
        <color indexed="13"/>
      </right>
      <top style="medium">
        <color indexed="8"/>
      </top>
      <bottom style="medium">
        <color indexed="8"/>
      </bottom>
      <diagonal/>
    </border>
    <border>
      <left style="thin">
        <color indexed="13"/>
      </left>
      <right style="thin">
        <color indexed="13"/>
      </right>
      <top style="medium">
        <color indexed="8"/>
      </top>
      <bottom style="thin">
        <color indexed="13"/>
      </bottom>
      <diagonal/>
    </border>
    <border>
      <left style="thick">
        <color indexed="8"/>
      </left>
      <right style="medium">
        <color indexed="8"/>
      </right>
      <top style="thick">
        <color indexed="8"/>
      </top>
      <bottom style="thin">
        <color indexed="14"/>
      </bottom>
      <diagonal/>
    </border>
    <border>
      <left style="medium">
        <color indexed="8"/>
      </left>
      <right style="thin">
        <color indexed="13"/>
      </right>
      <top style="thick">
        <color indexed="8"/>
      </top>
      <bottom style="thin">
        <color indexed="14"/>
      </bottom>
      <diagonal/>
    </border>
    <border>
      <left style="thin">
        <color indexed="13"/>
      </left>
      <right style="thin">
        <color indexed="13"/>
      </right>
      <top style="thick">
        <color indexed="8"/>
      </top>
      <bottom style="thin">
        <color indexed="14"/>
      </bottom>
      <diagonal/>
    </border>
    <border>
      <left style="thin">
        <color indexed="13"/>
      </left>
      <right style="thick">
        <color indexed="8"/>
      </right>
      <top style="thick">
        <color indexed="8"/>
      </top>
      <bottom style="thin">
        <color indexed="14"/>
      </bottom>
      <diagonal/>
    </border>
    <border>
      <left style="thick">
        <color indexed="8"/>
      </left>
      <right style="medium">
        <color indexed="8"/>
      </right>
      <top style="thin">
        <color indexed="14"/>
      </top>
      <bottom style="thin">
        <color indexed="13"/>
      </bottom>
      <diagonal/>
    </border>
    <border>
      <left style="medium">
        <color indexed="8"/>
      </left>
      <right style="thin">
        <color indexed="14"/>
      </right>
      <top style="thin">
        <color indexed="14"/>
      </top>
      <bottom style="thin">
        <color indexed="13"/>
      </bottom>
      <diagonal/>
    </border>
    <border>
      <left style="thin">
        <color indexed="14"/>
      </left>
      <right/>
      <top style="thin">
        <color indexed="14"/>
      </top>
      <bottom style="thin">
        <color indexed="13"/>
      </bottom>
      <diagonal/>
    </border>
    <border>
      <left/>
      <right/>
      <top style="thin">
        <color indexed="14"/>
      </top>
      <bottom style="thin">
        <color indexed="13"/>
      </bottom>
      <diagonal/>
    </border>
    <border>
      <left/>
      <right style="thick">
        <color indexed="8"/>
      </right>
      <top style="thin">
        <color indexed="14"/>
      </top>
      <bottom style="thin">
        <color indexed="13"/>
      </bottom>
      <diagonal/>
    </border>
    <border>
      <left style="thick">
        <color indexed="8"/>
      </left>
      <right style="medium">
        <color indexed="8"/>
      </right>
      <top style="thin">
        <color indexed="13"/>
      </top>
      <bottom style="thin">
        <color indexed="13"/>
      </bottom>
      <diagonal/>
    </border>
    <border>
      <left style="medium">
        <color indexed="8"/>
      </left>
      <right style="thin">
        <color indexed="14"/>
      </right>
      <top style="thin">
        <color indexed="13"/>
      </top>
      <bottom style="thin">
        <color indexed="13"/>
      </bottom>
      <diagonal/>
    </border>
    <border>
      <left style="thin">
        <color indexed="14"/>
      </left>
      <right/>
      <top style="thin">
        <color indexed="13"/>
      </top>
      <bottom style="thin">
        <color indexed="13"/>
      </bottom>
      <diagonal/>
    </border>
    <border>
      <left/>
      <right/>
      <top style="thin">
        <color indexed="13"/>
      </top>
      <bottom style="thin">
        <color indexed="13"/>
      </bottom>
      <diagonal/>
    </border>
    <border>
      <left/>
      <right style="thick">
        <color indexed="8"/>
      </right>
      <top style="thin">
        <color indexed="13"/>
      </top>
      <bottom style="thin">
        <color indexed="13"/>
      </bottom>
      <diagonal/>
    </border>
    <border>
      <left style="thick">
        <color indexed="8"/>
      </left>
      <right/>
      <top style="thin">
        <color indexed="13"/>
      </top>
      <bottom style="thin">
        <color indexed="13"/>
      </bottom>
      <diagonal/>
    </border>
    <border>
      <left style="thick">
        <color indexed="8"/>
      </left>
      <right style="medium">
        <color indexed="8"/>
      </right>
      <top style="thin">
        <color indexed="13"/>
      </top>
      <bottom style="thick">
        <color indexed="8"/>
      </bottom>
      <diagonal/>
    </border>
    <border>
      <left style="medium">
        <color indexed="8"/>
      </left>
      <right style="thin">
        <color indexed="14"/>
      </right>
      <top style="thin">
        <color indexed="13"/>
      </top>
      <bottom style="thick">
        <color indexed="8"/>
      </bottom>
      <diagonal/>
    </border>
    <border>
      <left style="thin">
        <color indexed="14"/>
      </left>
      <right/>
      <top style="thin">
        <color indexed="13"/>
      </top>
      <bottom style="thick">
        <color indexed="8"/>
      </bottom>
      <diagonal/>
    </border>
    <border>
      <left/>
      <right/>
      <top style="thin">
        <color indexed="13"/>
      </top>
      <bottom style="thick">
        <color indexed="8"/>
      </bottom>
      <diagonal/>
    </border>
    <border>
      <left/>
      <right style="thick">
        <color indexed="8"/>
      </right>
      <top style="thin">
        <color indexed="13"/>
      </top>
      <bottom style="thick">
        <color indexed="8"/>
      </bottom>
      <diagonal/>
    </border>
  </borders>
  <cellStyleXfs count="1">
    <xf numFmtId="0" fontId="0" applyNumberFormat="0" applyFont="1" applyFill="0" applyBorder="0" applyAlignment="1" applyProtection="0">
      <alignment vertical="top" wrapText="1"/>
    </xf>
  </cellStyleXfs>
  <cellXfs count="181">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horizontal="center" vertical="center" wrapText="1"/>
    </xf>
    <xf numFmtId="49" fontId="4" fillId="5" borderId="1" applyNumberFormat="1" applyFont="1" applyFill="1" applyBorder="1" applyAlignment="1" applyProtection="0">
      <alignment horizontal="center" vertical="center" wrapText="1"/>
    </xf>
    <xf numFmtId="49" fontId="6" fillId="4" borderId="1" applyNumberFormat="1" applyFont="1" applyFill="1" applyBorder="1" applyAlignment="1" applyProtection="0">
      <alignment horizontal="center" vertical="center" wrapText="1"/>
    </xf>
    <xf numFmtId="49" fontId="4" fillId="6" borderId="1" applyNumberFormat="1" applyFont="1" applyFill="1" applyBorder="1" applyAlignment="1" applyProtection="0">
      <alignment horizontal="center" vertical="center" wrapText="1"/>
    </xf>
    <xf numFmtId="49" fontId="4" fillId="7" borderId="2" applyNumberFormat="1" applyFont="1" applyFill="1" applyBorder="1" applyAlignment="1" applyProtection="0">
      <alignment horizontal="center" vertical="top" wrapText="1"/>
    </xf>
    <xf numFmtId="0" fontId="4" fillId="7" borderId="3" applyNumberFormat="0" applyFont="1" applyFill="1" applyBorder="1" applyAlignment="1" applyProtection="0">
      <alignment horizontal="center" vertical="top" wrapText="1"/>
    </xf>
    <xf numFmtId="49" fontId="0" borderId="4" applyNumberFormat="1" applyFont="1" applyFill="0" applyBorder="1" applyAlignment="1" applyProtection="0">
      <alignment horizontal="center" vertical="top" wrapText="1"/>
    </xf>
    <xf numFmtId="59" fontId="0" borderId="2" applyNumberFormat="1" applyFont="1" applyFill="0" applyBorder="1" applyAlignment="1" applyProtection="0">
      <alignment horizontal="center" vertical="top" wrapText="1"/>
    </xf>
    <xf numFmtId="0" fontId="0" borderId="2" applyNumberFormat="1" applyFont="1" applyFill="0" applyBorder="1" applyAlignment="1" applyProtection="0">
      <alignment horizontal="center" vertical="top" wrapText="1"/>
    </xf>
    <xf numFmtId="0" fontId="0" borderId="2" applyNumberFormat="0" applyFont="1" applyFill="0" applyBorder="1" applyAlignment="1" applyProtection="0">
      <alignment horizontal="center" vertical="top" wrapText="1"/>
    </xf>
    <xf numFmtId="2" fontId="0" borderId="2" applyNumberFormat="1" applyFont="1" applyFill="0" applyBorder="1" applyAlignment="1" applyProtection="0">
      <alignment horizontal="center" vertical="top" wrapText="1"/>
    </xf>
    <xf numFmtId="1" fontId="0" borderId="2" applyNumberFormat="1" applyFont="1" applyFill="0" applyBorder="1" applyAlignment="1" applyProtection="0">
      <alignment horizontal="center" vertical="top" wrapText="1"/>
    </xf>
    <xf numFmtId="60" fontId="0" borderId="2" applyNumberFormat="1" applyFont="1" applyFill="0" applyBorder="1" applyAlignment="1" applyProtection="0">
      <alignment horizontal="center" vertical="top" wrapText="1"/>
    </xf>
    <xf numFmtId="61" fontId="0" borderId="2" applyNumberFormat="1" applyFont="1" applyFill="0" applyBorder="1" applyAlignment="1" applyProtection="0">
      <alignment horizontal="center" vertical="top" wrapText="1"/>
    </xf>
    <xf numFmtId="62" fontId="0" borderId="2" applyNumberFormat="1" applyFont="1" applyFill="0" applyBorder="1" applyAlignment="1" applyProtection="0">
      <alignment horizontal="center" vertical="top" wrapText="1"/>
    </xf>
    <xf numFmtId="49" fontId="4" fillId="7" borderId="5" applyNumberFormat="1" applyFont="1" applyFill="1" applyBorder="1" applyAlignment="1" applyProtection="0">
      <alignment horizontal="center" vertical="top" wrapText="1"/>
    </xf>
    <xf numFmtId="0" fontId="4" fillId="7" borderId="6" applyNumberFormat="0" applyFont="1" applyFill="1" applyBorder="1" applyAlignment="1" applyProtection="0">
      <alignment horizontal="center" vertical="top" wrapText="1"/>
    </xf>
    <xf numFmtId="49" fontId="0" fillId="8" borderId="7" applyNumberFormat="1" applyFont="1" applyFill="1" applyBorder="1" applyAlignment="1" applyProtection="0">
      <alignment horizontal="center" vertical="top" wrapText="1"/>
    </xf>
    <xf numFmtId="59" fontId="0" fillId="8" borderId="5" applyNumberFormat="1" applyFont="1" applyFill="1" applyBorder="1" applyAlignment="1" applyProtection="0">
      <alignment horizontal="center" vertical="top" wrapText="1"/>
    </xf>
    <xf numFmtId="0" fontId="0" fillId="8" borderId="5" applyNumberFormat="1" applyFont="1" applyFill="1" applyBorder="1" applyAlignment="1" applyProtection="0">
      <alignment horizontal="center" vertical="top" wrapText="1"/>
    </xf>
    <xf numFmtId="0" fontId="0" fillId="8" borderId="5" applyNumberFormat="0" applyFont="1" applyFill="1" applyBorder="1" applyAlignment="1" applyProtection="0">
      <alignment horizontal="center" vertical="top" wrapText="1"/>
    </xf>
    <xf numFmtId="2" fontId="0" fillId="8" borderId="5" applyNumberFormat="1" applyFont="1" applyFill="1" applyBorder="1" applyAlignment="1" applyProtection="0">
      <alignment horizontal="center" vertical="top" wrapText="1"/>
    </xf>
    <xf numFmtId="1" fontId="0" fillId="8" borderId="5" applyNumberFormat="1" applyFont="1" applyFill="1" applyBorder="1" applyAlignment="1" applyProtection="0">
      <alignment horizontal="center" vertical="top" wrapText="1"/>
    </xf>
    <xf numFmtId="60" fontId="0" fillId="8" borderId="5" applyNumberFormat="1" applyFont="1" applyFill="1" applyBorder="1" applyAlignment="1" applyProtection="0">
      <alignment horizontal="center" vertical="top" wrapText="1"/>
    </xf>
    <xf numFmtId="61" fontId="0" fillId="8" borderId="5" applyNumberFormat="1" applyFont="1" applyFill="1" applyBorder="1" applyAlignment="1" applyProtection="0">
      <alignment horizontal="center" vertical="top" wrapText="1"/>
    </xf>
    <xf numFmtId="62" fontId="0" fillId="8" borderId="5" applyNumberFormat="1" applyFont="1" applyFill="1" applyBorder="1" applyAlignment="1" applyProtection="0">
      <alignment horizontal="center" vertical="top" wrapText="1"/>
    </xf>
    <xf numFmtId="49" fontId="0" borderId="7" applyNumberFormat="1" applyFont="1" applyFill="0" applyBorder="1" applyAlignment="1" applyProtection="0">
      <alignment horizontal="center" vertical="top" wrapText="1"/>
    </xf>
    <xf numFmtId="59" fontId="0" borderId="5" applyNumberFormat="1" applyFont="1" applyFill="0" applyBorder="1" applyAlignment="1" applyProtection="0">
      <alignment horizontal="center" vertical="top" wrapText="1"/>
    </xf>
    <xf numFmtId="0" fontId="0" borderId="5" applyNumberFormat="1" applyFont="1" applyFill="0" applyBorder="1" applyAlignment="1" applyProtection="0">
      <alignment horizontal="center" vertical="top" wrapText="1"/>
    </xf>
    <xf numFmtId="2" fontId="0" borderId="5" applyNumberFormat="1" applyFont="1" applyFill="0" applyBorder="1" applyAlignment="1" applyProtection="0">
      <alignment horizontal="center" vertical="top" wrapText="1"/>
    </xf>
    <xf numFmtId="1" fontId="0" borderId="5" applyNumberFormat="1" applyFont="1" applyFill="0" applyBorder="1" applyAlignment="1" applyProtection="0">
      <alignment horizontal="center" vertical="top" wrapText="1"/>
    </xf>
    <xf numFmtId="60" fontId="0" borderId="5" applyNumberFormat="1" applyFont="1" applyFill="0" applyBorder="1" applyAlignment="1" applyProtection="0">
      <alignment horizontal="center" vertical="top" wrapText="1"/>
    </xf>
    <xf numFmtId="61" fontId="0" borderId="5" applyNumberFormat="1" applyFont="1" applyFill="0" applyBorder="1" applyAlignment="1" applyProtection="0">
      <alignment horizontal="center" vertical="top" wrapText="1"/>
    </xf>
    <xf numFmtId="62" fontId="0" borderId="5" applyNumberFormat="1" applyFont="1" applyFill="0" applyBorder="1" applyAlignment="1" applyProtection="0">
      <alignment horizontal="center" vertical="top" wrapText="1"/>
    </xf>
    <xf numFmtId="0" fontId="0" borderId="5" applyNumberFormat="0" applyFont="1" applyFill="0" applyBorder="1" applyAlignment="1" applyProtection="0">
      <alignment horizontal="center" vertical="top" wrapText="1"/>
    </xf>
    <xf numFmtId="49" fontId="0" borderId="5" applyNumberFormat="1" applyFont="1" applyFill="0" applyBorder="1" applyAlignment="1" applyProtection="0">
      <alignment horizontal="center" vertical="top" wrapText="1"/>
    </xf>
    <xf numFmtId="49" fontId="0" fillId="8" borderId="5" applyNumberFormat="1" applyFont="1" applyFill="1" applyBorder="1" applyAlignment="1" applyProtection="0">
      <alignment horizontal="center" vertical="top" wrapText="1"/>
    </xf>
    <xf numFmtId="0" fontId="4" fillId="7" borderId="5" applyNumberFormat="0" applyFont="1" applyFill="1" applyBorder="1" applyAlignment="1" applyProtection="0">
      <alignment horizontal="center" vertical="top" wrapText="1"/>
    </xf>
    <xf numFmtId="0" fontId="0" borderId="7" applyNumberFormat="0" applyFont="1" applyFill="0" applyBorder="1" applyAlignment="1" applyProtection="0">
      <alignment horizontal="center" vertical="top" wrapText="1"/>
    </xf>
    <xf numFmtId="0" fontId="0" borderId="5" applyNumberFormat="0" applyFont="1" applyFill="0" applyBorder="1" applyAlignment="1" applyProtection="0">
      <alignment vertical="top" wrapText="1"/>
    </xf>
    <xf numFmtId="0" fontId="0" fillId="8" borderId="7" applyNumberFormat="0" applyFont="1" applyFill="1" applyBorder="1" applyAlignment="1" applyProtection="0">
      <alignment horizontal="center" vertical="top" wrapText="1"/>
    </xf>
    <xf numFmtId="0" fontId="0" fillId="8" borderId="5"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4" fillId="5" borderId="8" applyNumberFormat="0" applyFont="1" applyFill="1" applyBorder="1" applyAlignment="1" applyProtection="0">
      <alignment vertical="top" wrapText="1"/>
    </xf>
    <xf numFmtId="49" fontId="4" fillId="5" borderId="8" applyNumberFormat="1" applyFont="1" applyFill="1" applyBorder="1" applyAlignment="1" applyProtection="0">
      <alignment vertical="top" wrapText="1"/>
    </xf>
    <xf numFmtId="49" fontId="4" fillId="4" borderId="8" applyNumberFormat="1" applyFont="1" applyFill="1" applyBorder="1" applyAlignment="1" applyProtection="0">
      <alignment horizontal="center" vertical="center" wrapText="1"/>
    </xf>
    <xf numFmtId="49" fontId="4" fillId="4" borderId="8" applyNumberFormat="1" applyFont="1" applyFill="1" applyBorder="1" applyAlignment="1" applyProtection="0">
      <alignment vertical="top" wrapText="1"/>
    </xf>
    <xf numFmtId="49" fontId="6" fillId="4" borderId="8" applyNumberFormat="1" applyFont="1" applyFill="1" applyBorder="1" applyAlignment="1" applyProtection="0">
      <alignment horizontal="center" vertical="center" wrapText="1"/>
    </xf>
    <xf numFmtId="49" fontId="4" fillId="9" borderId="9" applyNumberFormat="1" applyFont="1" applyFill="1" applyBorder="1" applyAlignment="1" applyProtection="0">
      <alignment vertical="top"/>
    </xf>
    <xf numFmtId="0" fontId="4" fillId="9" borderId="9" applyNumberFormat="0" applyFont="1" applyFill="1" applyBorder="1" applyAlignment="1" applyProtection="0">
      <alignment vertical="top"/>
    </xf>
    <xf numFmtId="0" fontId="4" fillId="7" borderId="10" applyNumberFormat="0" applyFont="1" applyFill="1" applyBorder="1" applyAlignment="1" applyProtection="0">
      <alignment vertical="top" wrapText="1"/>
    </xf>
    <xf numFmtId="49" fontId="4" fillId="7" borderId="10" applyNumberFormat="1" applyFont="1" applyFill="1" applyBorder="1" applyAlignment="1" applyProtection="0">
      <alignment vertical="top" wrapText="1"/>
    </xf>
    <xf numFmtId="0" fontId="4" fillId="7" borderId="11" applyNumberFormat="0" applyFont="1" applyFill="1" applyBorder="1" applyAlignment="1" applyProtection="0">
      <alignment vertical="top" wrapText="1"/>
    </xf>
    <xf numFmtId="49" fontId="0" fillId="8" borderId="12" applyNumberFormat="1" applyFont="1" applyFill="1" applyBorder="1" applyAlignment="1" applyProtection="0">
      <alignment vertical="top" wrapText="1"/>
    </xf>
    <xf numFmtId="49" fontId="0" fillId="8" borderId="10" applyNumberFormat="1" applyFont="1" applyFill="1" applyBorder="1" applyAlignment="1" applyProtection="0">
      <alignment vertical="top" wrapText="1"/>
    </xf>
    <xf numFmtId="0" fontId="0" fillId="8" borderId="10" applyNumberFormat="1" applyFont="1" applyFill="1" applyBorder="1" applyAlignment="1" applyProtection="0">
      <alignment vertical="top" wrapText="1"/>
    </xf>
    <xf numFmtId="1" fontId="0" fillId="8" borderId="10" applyNumberFormat="1" applyFont="1" applyFill="1" applyBorder="1" applyAlignment="1" applyProtection="0">
      <alignment horizontal="center" vertical="top" wrapText="1"/>
    </xf>
    <xf numFmtId="60" fontId="0" fillId="8" borderId="10" applyNumberFormat="1" applyFont="1" applyFill="1" applyBorder="1" applyAlignment="1" applyProtection="0">
      <alignment horizontal="center" vertical="top" wrapText="1"/>
    </xf>
    <xf numFmtId="9" fontId="0" fillId="8" borderId="10" applyNumberFormat="1" applyFont="1" applyFill="1" applyBorder="1" applyAlignment="1" applyProtection="0">
      <alignment vertical="top" wrapText="1"/>
    </xf>
    <xf numFmtId="0" fontId="4" fillId="7" borderId="2" applyNumberFormat="0" applyFont="1" applyFill="1" applyBorder="1" applyAlignment="1" applyProtection="0">
      <alignment vertical="top" wrapText="1"/>
    </xf>
    <xf numFmtId="49" fontId="4" fillId="7" borderId="2" applyNumberFormat="1" applyFont="1" applyFill="1" applyBorder="1" applyAlignment="1" applyProtection="0">
      <alignment vertical="top" wrapText="1"/>
    </xf>
    <xf numFmtId="0" fontId="4" fillId="7" borderId="3" applyNumberFormat="0" applyFont="1" applyFill="1" applyBorder="1" applyAlignment="1" applyProtection="0">
      <alignment vertical="top" wrapText="1"/>
    </xf>
    <xf numFmtId="49" fontId="0" fillId="8" borderId="4" applyNumberFormat="1" applyFont="1" applyFill="1" applyBorder="1" applyAlignment="1" applyProtection="0">
      <alignment vertical="top" wrapText="1"/>
    </xf>
    <xf numFmtId="0" fontId="0" fillId="8" borderId="2" applyNumberFormat="0" applyFont="1" applyFill="1" applyBorder="1" applyAlignment="1" applyProtection="0">
      <alignment vertical="top" wrapText="1"/>
    </xf>
    <xf numFmtId="9" fontId="0" fillId="8" borderId="2" applyNumberFormat="1" applyFont="1" applyFill="1" applyBorder="1" applyAlignment="1" applyProtection="0">
      <alignment vertical="top" wrapText="1"/>
    </xf>
    <xf numFmtId="0" fontId="4" fillId="7" borderId="8" applyNumberFormat="0" applyFont="1" applyFill="1" applyBorder="1" applyAlignment="1" applyProtection="0">
      <alignment vertical="top" wrapText="1"/>
    </xf>
    <xf numFmtId="49" fontId="4" fillId="7" borderId="8" applyNumberFormat="1" applyFont="1" applyFill="1" applyBorder="1" applyAlignment="1" applyProtection="0">
      <alignment vertical="top" wrapText="1"/>
    </xf>
    <xf numFmtId="0" fontId="4" fillId="7" borderId="13" applyNumberFormat="0" applyFont="1" applyFill="1" applyBorder="1" applyAlignment="1" applyProtection="0">
      <alignment vertical="top" wrapText="1"/>
    </xf>
    <xf numFmtId="49" fontId="0" borderId="14" applyNumberFormat="1" applyFont="1" applyFill="0" applyBorder="1" applyAlignment="1" applyProtection="0">
      <alignment vertical="top" wrapText="1"/>
    </xf>
    <xf numFmtId="0" fontId="0" borderId="8" applyNumberFormat="0" applyFont="1" applyFill="0" applyBorder="1" applyAlignment="1" applyProtection="0">
      <alignment vertical="top" wrapText="1"/>
    </xf>
    <xf numFmtId="9" fontId="0" borderId="8" applyNumberFormat="1" applyFont="1" applyFill="0" applyBorder="1" applyAlignment="1" applyProtection="0">
      <alignment vertical="top" wrapText="1"/>
    </xf>
    <xf numFmtId="49" fontId="4" fillId="9" borderId="15" applyNumberFormat="1" applyFont="1" applyFill="1" applyBorder="1" applyAlignment="1" applyProtection="0">
      <alignment vertical="top"/>
    </xf>
    <xf numFmtId="0" fontId="4" fillId="9" borderId="15" applyNumberFormat="0" applyFont="1" applyFill="1" applyBorder="1" applyAlignment="1" applyProtection="0">
      <alignment vertical="top"/>
    </xf>
    <xf numFmtId="0" fontId="4" fillId="7" borderId="15" applyNumberFormat="0" applyFont="1" applyFill="1" applyBorder="1" applyAlignment="1" applyProtection="0">
      <alignment vertical="top" wrapText="1"/>
    </xf>
    <xf numFmtId="49" fontId="4" fillId="7" borderId="15" applyNumberFormat="1" applyFont="1" applyFill="1" applyBorder="1" applyAlignment="1" applyProtection="0">
      <alignment vertical="top" wrapText="1"/>
    </xf>
    <xf numFmtId="0" fontId="4" fillId="7" borderId="16" applyNumberFormat="0" applyFont="1" applyFill="1" applyBorder="1" applyAlignment="1" applyProtection="0">
      <alignment vertical="top" wrapText="1"/>
    </xf>
    <xf numFmtId="49" fontId="0" borderId="17" applyNumberFormat="1" applyFont="1" applyFill="0" applyBorder="1" applyAlignment="1" applyProtection="0">
      <alignment vertical="top" wrapText="1"/>
    </xf>
    <xf numFmtId="0" fontId="0" borderId="15" applyNumberFormat="0" applyFont="1" applyFill="0" applyBorder="1" applyAlignment="1" applyProtection="0">
      <alignment vertical="top" wrapText="1"/>
    </xf>
    <xf numFmtId="49" fontId="0" fillId="8" borderId="17" applyNumberFormat="1" applyFont="1" applyFill="1" applyBorder="1" applyAlignment="1" applyProtection="0">
      <alignment vertical="top" wrapText="1"/>
    </xf>
    <xf numFmtId="0" fontId="0" fillId="8" borderId="15" applyNumberFormat="0" applyFont="1" applyFill="1" applyBorder="1" applyAlignment="1" applyProtection="0">
      <alignment vertical="top" wrapText="1"/>
    </xf>
    <xf numFmtId="49" fontId="4" fillId="9" borderId="18" applyNumberFormat="1" applyFont="1" applyFill="1" applyBorder="1" applyAlignment="1" applyProtection="0">
      <alignment vertical="top"/>
    </xf>
    <xf numFmtId="0" fontId="4" fillId="9" borderId="18" applyNumberFormat="0" applyFont="1" applyFill="1" applyBorder="1" applyAlignment="1" applyProtection="0">
      <alignment vertical="top"/>
    </xf>
    <xf numFmtId="0" fontId="4" fillId="7" borderId="5" applyNumberFormat="0" applyFont="1" applyFill="1" applyBorder="1" applyAlignment="1" applyProtection="0">
      <alignment vertical="top" wrapText="1"/>
    </xf>
    <xf numFmtId="49" fontId="4" fillId="7" borderId="5" applyNumberFormat="1" applyFont="1" applyFill="1" applyBorder="1" applyAlignment="1" applyProtection="0">
      <alignment vertical="top" wrapText="1"/>
    </xf>
    <xf numFmtId="0" fontId="4" fillId="7" borderId="6" applyNumberFormat="0" applyFont="1" applyFill="1" applyBorder="1" applyAlignment="1" applyProtection="0">
      <alignment vertical="top" wrapText="1"/>
    </xf>
    <xf numFmtId="49" fontId="0" borderId="7" applyNumberFormat="1" applyFont="1" applyFill="0" applyBorder="1" applyAlignment="1" applyProtection="0">
      <alignment vertical="top" wrapText="1"/>
    </xf>
    <xf numFmtId="49" fontId="0" fillId="8"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6" fillId="5" borderId="1" applyNumberFormat="1" applyFont="1" applyFill="1" applyBorder="1" applyAlignment="1" applyProtection="0">
      <alignment vertical="top" wrapText="1"/>
    </xf>
    <xf numFmtId="49" fontId="4" fillId="5" borderId="1" applyNumberFormat="1" applyFont="1" applyFill="1" applyBorder="1" applyAlignment="1" applyProtection="0">
      <alignment vertical="top" wrapText="1"/>
    </xf>
    <xf numFmtId="49" fontId="4" fillId="4" borderId="1" applyNumberFormat="1" applyFont="1" applyFill="1" applyBorder="1" applyAlignment="1" applyProtection="0">
      <alignment vertical="top" wrapText="1"/>
    </xf>
    <xf numFmtId="49" fontId="6" fillId="10" borderId="3" applyNumberFormat="1" applyFont="1" applyFill="1" applyBorder="1" applyAlignment="1" applyProtection="0">
      <alignment vertical="center" wrapText="1" readingOrder="1"/>
    </xf>
    <xf numFmtId="49" fontId="6" fillId="11" borderId="4" applyNumberFormat="1" applyFont="1" applyFill="1" applyBorder="1" applyAlignment="1" applyProtection="0">
      <alignment vertical="center" wrapText="1" readingOrder="1"/>
    </xf>
    <xf numFmtId="49" fontId="8" fillId="12" borderId="2" applyNumberFormat="1" applyFont="1" applyFill="1" applyBorder="1" applyAlignment="1" applyProtection="0">
      <alignment vertical="center" wrapText="1" readingOrder="1"/>
    </xf>
    <xf numFmtId="49" fontId="8" borderId="2" applyNumberFormat="1" applyFont="1" applyFill="0" applyBorder="1" applyAlignment="1" applyProtection="0">
      <alignment vertical="top" wrapText="1"/>
    </xf>
    <xf numFmtId="0" fontId="8" borderId="2" applyNumberFormat="0" applyFont="1" applyFill="0" applyBorder="1" applyAlignment="1" applyProtection="0">
      <alignment vertical="top" wrapText="1"/>
    </xf>
    <xf numFmtId="0" fontId="0" borderId="7" applyNumberFormat="0" applyFont="1" applyFill="0" applyBorder="1" applyAlignment="1" applyProtection="0">
      <alignment vertical="top" wrapText="1"/>
    </xf>
    <xf numFmtId="49" fontId="8" borderId="5" applyNumberFormat="1" applyFont="1" applyFill="0" applyBorder="1" applyAlignment="1" applyProtection="0">
      <alignment vertical="top" wrapText="1"/>
    </xf>
    <xf numFmtId="0" fontId="8" borderId="5" applyNumberFormat="1" applyFont="1" applyFill="0" applyBorder="1" applyAlignment="1" applyProtection="0">
      <alignment vertical="top" wrapText="1"/>
    </xf>
    <xf numFmtId="0" fontId="8" borderId="5" applyNumberFormat="0" applyFont="1" applyFill="0" applyBorder="1" applyAlignment="1" applyProtection="0">
      <alignment vertical="top" wrapText="1"/>
    </xf>
    <xf numFmtId="0" fontId="6" fillId="10" borderId="6" applyNumberFormat="0" applyFont="1" applyFill="1" applyBorder="1" applyAlignment="1" applyProtection="0">
      <alignment vertical="center" wrapText="1" readingOrder="1"/>
    </xf>
    <xf numFmtId="0" fontId="6" fillId="11" borderId="7" applyNumberFormat="0" applyFont="1" applyFill="1" applyBorder="1" applyAlignment="1" applyProtection="0">
      <alignment vertical="center" wrapText="1" readingOrder="1"/>
    </xf>
    <xf numFmtId="0" fontId="8" fillId="12" borderId="5" applyNumberFormat="0" applyFont="1" applyFill="1" applyBorder="1" applyAlignment="1" applyProtection="0">
      <alignment vertical="center" wrapText="1" readingOrder="1"/>
    </xf>
    <xf numFmtId="49" fontId="6" fillId="10" borderId="6" applyNumberFormat="1" applyFont="1" applyFill="1" applyBorder="1" applyAlignment="1" applyProtection="0">
      <alignment vertical="center" wrapText="1" readingOrder="1"/>
    </xf>
    <xf numFmtId="49" fontId="6" fillId="11" borderId="7" applyNumberFormat="1" applyFont="1" applyFill="1" applyBorder="1" applyAlignment="1" applyProtection="0">
      <alignment vertical="center" wrapText="1" readingOrder="1"/>
    </xf>
    <xf numFmtId="49" fontId="8" fillId="12" borderId="5" applyNumberFormat="1" applyFont="1" applyFill="1" applyBorder="1" applyAlignment="1" applyProtection="0">
      <alignment vertical="center" wrapText="1" readingOrder="1"/>
    </xf>
    <xf numFmtId="49" fontId="8" fillId="13" borderId="5" applyNumberFormat="1" applyFont="1" applyFill="1" applyBorder="1" applyAlignment="1" applyProtection="0">
      <alignment vertical="center" wrapText="1" readingOrder="1"/>
    </xf>
    <xf numFmtId="49" fontId="6" fillId="13" borderId="5" applyNumberFormat="1" applyFont="1" applyFill="1" applyBorder="1" applyAlignment="1" applyProtection="0">
      <alignment vertical="center" wrapText="1" readingOrder="1"/>
    </xf>
    <xf numFmtId="49" fontId="6" fillId="12" borderId="5" applyNumberFormat="1" applyFont="1" applyFill="1" applyBorder="1" applyAlignment="1" applyProtection="0">
      <alignment vertical="center" wrapText="1" readingOrder="1"/>
    </xf>
    <xf numFmtId="49" fontId="9" fillId="12" borderId="5" applyNumberFormat="1" applyFont="1" applyFill="1" applyBorder="1" applyAlignment="1" applyProtection="0">
      <alignment vertical="center" wrapText="1" readingOrder="1"/>
    </xf>
    <xf numFmtId="49" fontId="6" fillId="12" borderId="5" applyNumberFormat="1" applyFont="1" applyFill="1" applyBorder="1" applyAlignment="1" applyProtection="0">
      <alignment horizontal="center" vertical="center" wrapText="1" readingOrder="1"/>
    </xf>
    <xf numFmtId="0" fontId="0" applyNumberFormat="1" applyFont="1" applyFill="0" applyBorder="0" applyAlignment="1" applyProtection="0">
      <alignment vertical="top" wrapText="1"/>
    </xf>
    <xf numFmtId="0" fontId="8" borderId="2" applyNumberFormat="1" applyFont="1" applyFill="0" applyBorder="1" applyAlignment="1" applyProtection="0">
      <alignment vertical="top" wrapText="1"/>
    </xf>
    <xf numFmtId="60" fontId="8" borderId="2"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4" fillId="5" borderId="19" applyNumberFormat="1" applyFont="1" applyFill="1" applyBorder="1" applyAlignment="1" applyProtection="0">
      <alignment horizontal="center" vertical="top" wrapText="1"/>
    </xf>
    <xf numFmtId="49" fontId="4" fillId="5" borderId="20" applyNumberFormat="1" applyFont="1" applyFill="1" applyBorder="1" applyAlignment="1" applyProtection="0">
      <alignment horizontal="center" vertical="top" wrapText="1"/>
    </xf>
    <xf numFmtId="0" fontId="4" fillId="5" borderId="21" applyNumberFormat="0" applyFont="1" applyFill="1" applyBorder="1" applyAlignment="1" applyProtection="0">
      <alignment horizontal="center" vertical="top" wrapText="1"/>
    </xf>
    <xf numFmtId="0" fontId="4" fillId="5" borderId="22" applyNumberFormat="0" applyFont="1" applyFill="1" applyBorder="1" applyAlignment="1" applyProtection="0">
      <alignment horizontal="center" vertical="top" wrapText="1"/>
    </xf>
    <xf numFmtId="49" fontId="4" fillId="7" borderId="23" applyNumberFormat="1" applyFont="1" applyFill="1" applyBorder="1" applyAlignment="1" applyProtection="0">
      <alignment horizontal="center" vertical="top" wrapText="1"/>
    </xf>
    <xf numFmtId="49" fontId="4" fillId="7" borderId="24" applyNumberFormat="1" applyFont="1" applyFill="1" applyBorder="1" applyAlignment="1" applyProtection="0">
      <alignment horizontal="center" vertical="top" wrapText="1"/>
    </xf>
    <xf numFmtId="49" fontId="0" borderId="25" applyNumberFormat="1" applyFont="1" applyFill="0" applyBorder="1" applyAlignment="1" applyProtection="0">
      <alignment horizontal="center" vertical="top" wrapText="1"/>
    </xf>
    <xf numFmtId="49" fontId="0" borderId="26" applyNumberFormat="1" applyFont="1" applyFill="0" applyBorder="1" applyAlignment="1" applyProtection="0">
      <alignment horizontal="center" vertical="top" wrapText="1"/>
    </xf>
    <xf numFmtId="0" fontId="0" borderId="26" applyNumberFormat="0" applyFont="1" applyFill="0" applyBorder="1" applyAlignment="1" applyProtection="0">
      <alignment vertical="top" wrapText="1"/>
    </xf>
    <xf numFmtId="0" fontId="0" borderId="26" applyNumberFormat="0" applyFont="1" applyFill="0" applyBorder="1" applyAlignment="1" applyProtection="0">
      <alignment horizontal="center" vertical="top" wrapText="1"/>
    </xf>
    <xf numFmtId="0" fontId="0" borderId="27" applyNumberFormat="0" applyFont="1" applyFill="0" applyBorder="1" applyAlignment="1" applyProtection="0">
      <alignment horizontal="center" vertical="top" wrapText="1"/>
    </xf>
    <xf numFmtId="49" fontId="4" fillId="7" borderId="28" applyNumberFormat="1" applyFont="1" applyFill="1" applyBorder="1" applyAlignment="1" applyProtection="0">
      <alignment horizontal="center" vertical="top" wrapText="1"/>
    </xf>
    <xf numFmtId="49" fontId="4" fillId="7" borderId="29" applyNumberFormat="1" applyFont="1" applyFill="1" applyBorder="1" applyAlignment="1" applyProtection="0">
      <alignment horizontal="center" vertical="top" wrapText="1"/>
    </xf>
    <xf numFmtId="49" fontId="0" fillId="8" borderId="30" applyNumberFormat="1" applyFont="1" applyFill="1" applyBorder="1" applyAlignment="1" applyProtection="0">
      <alignment horizontal="center" vertical="top" wrapText="1"/>
    </xf>
    <xf numFmtId="49" fontId="0" fillId="8" borderId="31" applyNumberFormat="1" applyFont="1" applyFill="1" applyBorder="1" applyAlignment="1" applyProtection="0">
      <alignment horizontal="center" vertical="top" wrapText="1"/>
    </xf>
    <xf numFmtId="49" fontId="0" fillId="8" borderId="32" applyNumberFormat="1" applyFont="1" applyFill="1" applyBorder="1" applyAlignment="1" applyProtection="0">
      <alignment horizontal="center" vertical="top" wrapText="1"/>
    </xf>
    <xf numFmtId="49" fontId="0" fillId="8" borderId="33" applyNumberFormat="1" applyFont="1" applyFill="1" applyBorder="1" applyAlignment="1" applyProtection="0">
      <alignment horizontal="center" vertical="top" wrapText="1"/>
    </xf>
    <xf numFmtId="49" fontId="0" borderId="30" applyNumberFormat="1" applyFont="1" applyFill="0" applyBorder="1" applyAlignment="1" applyProtection="0">
      <alignment horizontal="center" vertical="top" wrapText="1"/>
    </xf>
    <xf numFmtId="49" fontId="0" borderId="31" applyNumberFormat="1" applyFont="1" applyFill="0" applyBorder="1" applyAlignment="1" applyProtection="0">
      <alignment horizontal="center" vertical="top" wrapText="1"/>
    </xf>
    <xf numFmtId="0" fontId="0" borderId="31" applyNumberFormat="0" applyFont="1" applyFill="0" applyBorder="1" applyAlignment="1" applyProtection="0">
      <alignment horizontal="center" vertical="top" wrapText="1"/>
    </xf>
    <xf numFmtId="0" fontId="0" borderId="32" applyNumberFormat="0" applyFont="1" applyFill="0" applyBorder="1" applyAlignment="1" applyProtection="0">
      <alignment horizontal="center" vertical="top" wrapText="1"/>
    </xf>
    <xf numFmtId="0" fontId="0" fillId="8" borderId="31" applyNumberFormat="0" applyFont="1" applyFill="1" applyBorder="1" applyAlignment="1" applyProtection="0">
      <alignment horizontal="center" vertical="top" wrapText="1"/>
    </xf>
    <xf numFmtId="0" fontId="0" fillId="8" borderId="32" applyNumberFormat="0" applyFont="1" applyFill="1" applyBorder="1" applyAlignment="1" applyProtection="0">
      <alignment horizontal="center" vertical="top" wrapText="1"/>
    </xf>
    <xf numFmtId="0" fontId="4" fillId="7" borderId="28" applyNumberFormat="0" applyFont="1" applyFill="1" applyBorder="1" applyAlignment="1" applyProtection="0">
      <alignment horizontal="center" vertical="top" wrapText="1"/>
    </xf>
    <xf numFmtId="0" fontId="4" fillId="7" borderId="29" applyNumberFormat="0" applyFont="1" applyFill="1" applyBorder="1" applyAlignment="1" applyProtection="0">
      <alignment horizontal="center" vertical="top" wrapText="1"/>
    </xf>
    <xf numFmtId="0" fontId="0" borderId="30" applyNumberFormat="0" applyFont="1" applyFill="0" applyBorder="1" applyAlignment="1" applyProtection="0">
      <alignment horizontal="center" vertical="top" wrapText="1"/>
    </xf>
    <xf numFmtId="0" fontId="0" borderId="31" applyNumberFormat="0" applyFont="1" applyFill="0" applyBorder="1" applyAlignment="1" applyProtection="0">
      <alignment vertical="top" wrapText="1"/>
    </xf>
    <xf numFmtId="0" fontId="0" fillId="8" borderId="31" applyNumberFormat="0" applyFont="1" applyFill="1" applyBorder="1" applyAlignment="1" applyProtection="0">
      <alignment vertical="top" wrapText="1"/>
    </xf>
    <xf numFmtId="49" fontId="4" fillId="7" borderId="34" applyNumberFormat="1" applyFont="1" applyFill="1" applyBorder="1" applyAlignment="1" applyProtection="0">
      <alignment horizontal="center" vertical="top" wrapText="1"/>
    </xf>
    <xf numFmtId="49" fontId="4" fillId="7" borderId="35" applyNumberFormat="1" applyFont="1" applyFill="1" applyBorder="1" applyAlignment="1" applyProtection="0">
      <alignment horizontal="center" vertical="top" wrapText="1"/>
    </xf>
    <xf numFmtId="49" fontId="0" borderId="36" applyNumberFormat="1" applyFont="1" applyFill="0" applyBorder="1" applyAlignment="1" applyProtection="0">
      <alignment horizontal="center" vertical="top" wrapText="1"/>
    </xf>
    <xf numFmtId="49" fontId="0" borderId="37" applyNumberFormat="1" applyFont="1" applyFill="0" applyBorder="1" applyAlignment="1" applyProtection="0">
      <alignment horizontal="center" vertical="top" wrapText="1"/>
    </xf>
    <xf numFmtId="0" fontId="0" borderId="37" applyNumberFormat="0" applyFont="1" applyFill="0" applyBorder="1" applyAlignment="1" applyProtection="0">
      <alignment horizontal="center" vertical="top" wrapText="1"/>
    </xf>
    <xf numFmtId="0" fontId="0" borderId="38" applyNumberFormat="0" applyFont="1" applyFill="0" applyBorder="1" applyAlignment="1" applyProtection="0">
      <alignment horizontal="center" vertical="top" wrapText="1"/>
    </xf>
    <xf numFmtId="0" fontId="0" applyNumberFormat="1" applyFont="1" applyFill="0" applyBorder="0" applyAlignment="1" applyProtection="0">
      <alignment vertical="top" wrapText="1"/>
    </xf>
    <xf numFmtId="0" fontId="4" fillId="5" borderId="1" applyNumberFormat="0" applyFont="1" applyFill="1" applyBorder="1" applyAlignment="1" applyProtection="0">
      <alignment vertical="top" wrapText="1"/>
    </xf>
    <xf numFmtId="0" fontId="4" fillId="5" borderId="1" applyNumberFormat="1" applyFont="1" applyFill="1" applyBorder="1" applyAlignment="1" applyProtection="0">
      <alignment vertical="top" wrapText="1"/>
    </xf>
    <xf numFmtId="49" fontId="4" fillId="7" borderId="3" applyNumberFormat="1" applyFont="1" applyFill="1" applyBorder="1" applyAlignment="1" applyProtection="0">
      <alignment vertical="top" wrapText="1"/>
    </xf>
    <xf numFmtId="0" fontId="0" borderId="4"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49" fontId="4" fillId="7" borderId="6" applyNumberFormat="1" applyFont="1" applyFill="1" applyBorder="1" applyAlignment="1" applyProtection="0">
      <alignment vertical="top" wrapText="1"/>
    </xf>
    <xf numFmtId="49" fontId="0" borderId="5"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10" borderId="5" applyNumberFormat="1" applyFont="1" applyFill="0" applyBorder="1" applyAlignment="1" applyProtection="0">
      <alignment horizontal="center" vertical="center" wrapText="1" readingOrder="1"/>
    </xf>
    <xf numFmtId="0" fontId="10" borderId="5" applyNumberFormat="0" applyFont="1" applyFill="0" applyBorder="1" applyAlignment="1" applyProtection="0">
      <alignment horizontal="center" vertical="center" wrapText="1" readingOrder="1"/>
    </xf>
    <xf numFmtId="49" fontId="11" borderId="5" applyNumberFormat="1" applyFont="1" applyFill="0" applyBorder="1" applyAlignment="1" applyProtection="0">
      <alignment vertical="center" wrapText="1" readingOrder="1"/>
    </xf>
    <xf numFmtId="9" fontId="10" borderId="5" applyNumberFormat="1" applyFont="1" applyFill="0" applyBorder="1" applyAlignment="1" applyProtection="0">
      <alignment vertical="center" wrapText="1" readingOrder="1"/>
    </xf>
    <xf numFmtId="60" fontId="10" borderId="5" applyNumberFormat="1" applyFont="1" applyFill="0" applyBorder="1" applyAlignment="1" applyProtection="0">
      <alignment vertical="center" wrapText="1" readingOrder="1"/>
    </xf>
    <xf numFmtId="0" fontId="10" borderId="5" applyNumberFormat="0" applyFont="1" applyFill="0" applyBorder="1" applyAlignment="1" applyProtection="0">
      <alignment vertical="center" wrapText="1" readingOrder="1"/>
    </xf>
    <xf numFmtId="49" fontId="12" borderId="5" applyNumberFormat="1" applyFont="1" applyFill="0" applyBorder="1" applyAlignment="1" applyProtection="0">
      <alignment vertical="center" wrapText="1" readingOrder="1"/>
    </xf>
    <xf numFmtId="49" fontId="10" borderId="5" applyNumberFormat="1" applyFont="1" applyFill="0" applyBorder="1" applyAlignment="1" applyProtection="0">
      <alignment vertical="center" wrapText="1" readingOrder="1"/>
    </xf>
    <xf numFmtId="63" fontId="12" borderId="5" applyNumberFormat="1" applyFont="1" applyFill="0" applyBorder="1" applyAlignment="1" applyProtection="0">
      <alignment vertical="center" wrapText="1" readingOrder="1"/>
    </xf>
    <xf numFmtId="60" fontId="12" borderId="5" applyNumberFormat="1" applyFont="1" applyFill="0" applyBorder="1" applyAlignment="1" applyProtection="0">
      <alignment vertical="center" wrapText="1" readingOrder="1"/>
    </xf>
    <xf numFmtId="0" fontId="12" borderId="5" applyNumberFormat="0" applyFont="1" applyFill="0" applyBorder="1" applyAlignment="1" applyProtection="0">
      <alignment vertical="center" wrapText="1" readingOrder="1"/>
    </xf>
    <xf numFmtId="10" fontId="12" borderId="5" applyNumberFormat="1" applyFont="1" applyFill="0" applyBorder="1" applyAlignment="1" applyProtection="0">
      <alignment vertical="center" wrapText="1" readingOrder="1"/>
    </xf>
    <xf numFmtId="64" fontId="10" borderId="5" applyNumberFormat="1" applyFont="1" applyFill="0" applyBorder="1" applyAlignment="1" applyProtection="0">
      <alignment vertical="center" wrapText="1" readingOrder="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056"/>
      <rgbColor rgb="ffa5a5a5"/>
      <rgbColor rgb="ff3f3f3f"/>
      <rgbColor rgb="ffbdc0bf"/>
      <rgbColor rgb="ffd5d5d5"/>
      <rgbColor rgb="ffdbdbdb"/>
      <rgbColor rgb="fff4f4f4"/>
      <rgbColor rgb="ffd3d3d3"/>
      <rgbColor rgb="ffcccccc"/>
      <rgbColor rgb="ffd9d9d9"/>
      <rgbColor rgb="ffffffff"/>
      <rgbColor rgb="ffd9ead3"/>
      <rgbColor rgb="ff21212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14</xdr:col>
      <xdr:colOff>493196</xdr:colOff>
      <xdr:row>11</xdr:row>
      <xdr:rowOff>185283</xdr:rowOff>
    </xdr:from>
    <xdr:to>
      <xdr:col>18</xdr:col>
      <xdr:colOff>531296</xdr:colOff>
      <xdr:row>23</xdr:row>
      <xdr:rowOff>101219</xdr:rowOff>
    </xdr:to>
    <xdr:sp>
      <xdr:nvSpPr>
        <xdr:cNvPr id="3" name="Importance of Compactness ratio  (not including Flooz) 22 flights in 2025 5 bags- 2 of which are merch (avg $75/bag) if eliminate 1 bag = $1650 wear and tear, energy loading/unloading (10 touches/flight +1show)…"/>
        <xdr:cNvSpPr/>
      </xdr:nvSpPr>
      <xdr:spPr>
        <a:xfrm>
          <a:off x="13320196" y="4134983"/>
          <a:ext cx="3086101" cy="2962032"/>
        </a:xfrm>
        <a:prstGeom prst="rect">
          <a:avLst/>
        </a:prstGeom>
        <a:gradFill flip="none" rotWithShape="1">
          <a:gsLst>
            <a:gs pos="0">
              <a:srgbClr val="FFFCC1"/>
            </a:gs>
            <a:gs pos="100000">
              <a:srgbClr val="FFF499"/>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Laura, 3 hours ago
</a:t>
          </a: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Importance of Compactness ratio</a:t>
          </a:r>
          <a:br>
            <a:rPr b="0" baseline="0" cap="none" i="0" spc="0" strike="noStrike" sz="1200" u="none">
              <a:solidFill>
                <a:srgbClr val="000000"/>
              </a:solidFill>
              <a:uFillTx/>
              <a:latin typeface="+mn-lt"/>
              <a:ea typeface="+mn-ea"/>
              <a:cs typeface="+mn-cs"/>
              <a:sym typeface="Helvetica Neue"/>
            </a:rPr>
          </a:br>
          <a:br>
            <a:rPr b="0" baseline="0" cap="none" i="0" spc="0" strike="noStrike" sz="1200" u="none">
              <a:solidFill>
                <a:srgbClr val="000000"/>
              </a:solidFill>
              <a:uFillTx/>
              <a:latin typeface="+mn-lt"/>
              <a:ea typeface="+mn-ea"/>
              <a:cs typeface="+mn-cs"/>
              <a:sym typeface="Helvetica Neue"/>
            </a:rPr>
          </a:br>
          <a:r>
            <a:rPr b="0" baseline="0" cap="none" i="0" spc="0" strike="noStrike" sz="1200" u="none">
              <a:solidFill>
                <a:srgbClr val="000000"/>
              </a:solidFill>
              <a:uFillTx/>
              <a:latin typeface="+mn-lt"/>
              <a:ea typeface="+mn-ea"/>
              <a:cs typeface="+mn-cs"/>
              <a:sym typeface="Helvetica Neue"/>
            </a:rPr>
            <a:t>(not including Flooz) 22 flights in 2025</a:t>
          </a:r>
          <a:br>
            <a:rPr b="0" baseline="0" cap="none" i="0" spc="0" strike="noStrike" sz="1200" u="none">
              <a:solidFill>
                <a:srgbClr val="000000"/>
              </a:solidFill>
              <a:uFillTx/>
              <a:latin typeface="+mn-lt"/>
              <a:ea typeface="+mn-ea"/>
              <a:cs typeface="+mn-cs"/>
              <a:sym typeface="Helvetica Neue"/>
            </a:rPr>
          </a:br>
          <a:r>
            <a:rPr b="0" baseline="0" cap="none" i="0" spc="0" strike="noStrike" sz="1200" u="none">
              <a:solidFill>
                <a:srgbClr val="000000"/>
              </a:solidFill>
              <a:uFillTx/>
              <a:latin typeface="+mn-lt"/>
              <a:ea typeface="+mn-ea"/>
              <a:cs typeface="+mn-cs"/>
              <a:sym typeface="Helvetica Neue"/>
            </a:rPr>
            <a:t>5 bags- 2 of which are merch</a:t>
          </a:r>
          <a:br>
            <a:rPr b="0" baseline="0" cap="none" i="0" spc="0" strike="noStrike" sz="1200" u="none">
              <a:solidFill>
                <a:srgbClr val="000000"/>
              </a:solidFill>
              <a:uFillTx/>
              <a:latin typeface="+mn-lt"/>
              <a:ea typeface="+mn-ea"/>
              <a:cs typeface="+mn-cs"/>
              <a:sym typeface="Helvetica Neue"/>
            </a:rPr>
          </a:br>
          <a:r>
            <a:rPr b="0" baseline="0" cap="none" i="0" spc="0" strike="noStrike" sz="1200" u="none">
              <a:solidFill>
                <a:srgbClr val="000000"/>
              </a:solidFill>
              <a:uFillTx/>
              <a:latin typeface="+mn-lt"/>
              <a:ea typeface="+mn-ea"/>
              <a:cs typeface="+mn-cs"/>
              <a:sym typeface="Helvetica Neue"/>
            </a:rPr>
            <a:t>(avg $75/bag)</a:t>
          </a:r>
          <a:br>
            <a:rPr b="0" baseline="0" cap="none" i="0" spc="0" strike="noStrike" sz="1200" u="none">
              <a:solidFill>
                <a:srgbClr val="000000"/>
              </a:solidFill>
              <a:uFillTx/>
              <a:latin typeface="+mn-lt"/>
              <a:ea typeface="+mn-ea"/>
              <a:cs typeface="+mn-cs"/>
              <a:sym typeface="Helvetica Neue"/>
            </a:rPr>
          </a:br>
          <a:r>
            <a:rPr b="0" baseline="0" cap="none" i="0" spc="0" strike="noStrike" sz="1200" u="none">
              <a:solidFill>
                <a:srgbClr val="000000"/>
              </a:solidFill>
              <a:uFillTx/>
              <a:latin typeface="+mn-lt"/>
              <a:ea typeface="+mn-ea"/>
              <a:cs typeface="+mn-cs"/>
              <a:sym typeface="Helvetica Neue"/>
            </a:rPr>
            <a:t>if eliminate 1 bag = $1650</a:t>
          </a:r>
          <a:br>
            <a:rPr b="0" baseline="0" cap="none" i="0" spc="0" strike="noStrike" sz="1200" u="none">
              <a:solidFill>
                <a:srgbClr val="000000"/>
              </a:solidFill>
              <a:uFillTx/>
              <a:latin typeface="+mn-lt"/>
              <a:ea typeface="+mn-ea"/>
              <a:cs typeface="+mn-cs"/>
              <a:sym typeface="Helvetica Neue"/>
            </a:rPr>
          </a:br>
          <a:r>
            <a:rPr b="0" baseline="0" cap="none" i="0" spc="0" strike="noStrike" sz="1200" u="none">
              <a:solidFill>
                <a:srgbClr val="000000"/>
              </a:solidFill>
              <a:uFillTx/>
              <a:latin typeface="+mn-lt"/>
              <a:ea typeface="+mn-ea"/>
              <a:cs typeface="+mn-cs"/>
              <a:sym typeface="Helvetica Neue"/>
            </a:rPr>
            <a:t>wear and tear, energy loading/unloading (10 touches/flight +1show)</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160 touches, or 800/5 bags</a:t>
          </a:r>
          <a:br>
            <a:rPr b="0" baseline="0" cap="none" i="0" spc="0" strike="noStrike" sz="1200" u="none">
              <a:solidFill>
                <a:srgbClr val="000000"/>
              </a:solidFill>
              <a:uFillTx/>
              <a:latin typeface="+mn-lt"/>
              <a:ea typeface="+mn-ea"/>
              <a:cs typeface="+mn-cs"/>
              <a:sym typeface="Helvetica Neue"/>
            </a:rPr>
          </a:b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1738511</xdr:colOff>
      <xdr:row>1</xdr:row>
      <xdr:rowOff>362027</xdr:rowOff>
    </xdr:from>
    <xdr:to>
      <xdr:col>12</xdr:col>
      <xdr:colOff>557410</xdr:colOff>
      <xdr:row>16</xdr:row>
      <xdr:rowOff>36355</xdr:rowOff>
    </xdr:to>
    <xdr:sp>
      <xdr:nvSpPr>
        <xdr:cNvPr id="5" name="Suggested Price Adjustments…"/>
        <xdr:cNvSpPr/>
      </xdr:nvSpPr>
      <xdr:spPr>
        <a:xfrm>
          <a:off x="12381110" y="713182"/>
          <a:ext cx="3086101" cy="3708484"/>
        </a:xfrm>
        <a:prstGeom prst="rect">
          <a:avLst/>
        </a:prstGeom>
        <a:gradFill flip="none" rotWithShape="1">
          <a:gsLst>
            <a:gs pos="0">
              <a:srgbClr val="FFFCC1"/>
            </a:gs>
            <a:gs pos="100000">
              <a:srgbClr val="FFF499"/>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Laura, 3 hours ago
</a:t>
          </a: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Suggested Price Adjustments</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Item Bundling suggestions (upsell)</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New Merch Item Ideas</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Customer Feedback</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Supplier Notes</a:t>
          </a:r>
          <a:br>
            <a:rPr b="0" baseline="0" cap="none" i="0" spc="0" strike="noStrike" sz="1200" u="none">
              <a:solidFill>
                <a:srgbClr val="000000"/>
              </a:solidFill>
              <a:uFillTx/>
              <a:latin typeface="+mn-lt"/>
              <a:ea typeface="+mn-ea"/>
              <a:cs typeface="+mn-cs"/>
              <a:sym typeface="Helvetica Neue"/>
            </a:rPr>
          </a:br>
          <a:r>
            <a:rPr b="0" baseline="0" cap="none" i="0" spc="0" strike="noStrike" sz="1200" u="none">
              <a:solidFill>
                <a:srgbClr val="000000"/>
              </a:solidFill>
              <a:uFillTx/>
              <a:latin typeface="+mn-lt"/>
              <a:ea typeface="+mn-ea"/>
              <a:cs typeface="+mn-cs"/>
              <a:sym typeface="Helvetica Neue"/>
            </a:rPr>
            <a:t>Quality </a:t>
          </a:r>
          <a:br>
            <a:rPr b="0" baseline="0" cap="none" i="0" spc="0" strike="noStrike" sz="1200" u="none">
              <a:solidFill>
                <a:srgbClr val="000000"/>
              </a:solidFill>
              <a:uFillTx/>
              <a:latin typeface="+mn-lt"/>
              <a:ea typeface="+mn-ea"/>
              <a:cs typeface="+mn-cs"/>
              <a:sym typeface="Helvetica Neue"/>
            </a:rPr>
          </a:br>
          <a:r>
            <a:rPr b="0" baseline="0" cap="none" i="0" spc="0" strike="noStrike" sz="1200" u="none">
              <a:solidFill>
                <a:srgbClr val="000000"/>
              </a:solidFill>
              <a:uFillTx/>
              <a:latin typeface="+mn-lt"/>
              <a:ea typeface="+mn-ea"/>
              <a:cs typeface="+mn-cs"/>
              <a:sym typeface="Helvetica Neue"/>
            </a:rPr>
            <a:t>Design durability/demand</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Sizing</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Space efficiency</a:t>
          </a:r>
          <a:br>
            <a:rPr b="0" baseline="0" cap="none" i="0" spc="0" strike="noStrike" sz="1200" u="none">
              <a:solidFill>
                <a:srgbClr val="000000"/>
              </a:solidFill>
              <a:uFillTx/>
              <a:latin typeface="+mn-lt"/>
              <a:ea typeface="+mn-ea"/>
              <a:cs typeface="+mn-cs"/>
              <a:sym typeface="Helvetica Neue"/>
            </a:rPr>
          </a:br>
          <a:r>
            <a:rPr b="0" baseline="0" cap="none" i="0" spc="0" strike="noStrike" sz="1200" u="none">
              <a:solidFill>
                <a:srgbClr val="000000"/>
              </a:solidFill>
              <a:uFillTx/>
              <a:latin typeface="+mn-lt"/>
              <a:ea typeface="+mn-ea"/>
              <a:cs typeface="+mn-cs"/>
              <a:sym typeface="Helvetica Neue"/>
            </a:rPr>
            <a:t>Setup </a:t>
          </a:r>
          <a:br>
            <a:rPr b="0" baseline="0" cap="none" i="0" spc="0" strike="noStrike" sz="1200" u="none">
              <a:solidFill>
                <a:srgbClr val="000000"/>
              </a:solidFill>
              <a:uFillTx/>
              <a:latin typeface="+mn-lt"/>
              <a:ea typeface="+mn-ea"/>
              <a:cs typeface="+mn-cs"/>
              <a:sym typeface="Helvetica Neue"/>
            </a:rPr>
          </a:br>
          <a:r>
            <a:rPr b="0" baseline="0" cap="none" i="0" spc="0" strike="noStrike" sz="1200" u="none">
              <a:solidFill>
                <a:srgbClr val="000000"/>
              </a:solidFill>
              <a:uFillTx/>
              <a:latin typeface="+mn-lt"/>
              <a:ea typeface="+mn-ea"/>
              <a:cs typeface="+mn-cs"/>
              <a:sym typeface="Helvetica Neue"/>
            </a:rPr>
            <a:t>Venue Merch cuts</a:t>
          </a:r>
          <a:endParaRPr b="0" baseline="0" cap="none" i="0" spc="0" strike="noStrike" sz="1200" u="none">
            <a:solidFill>
              <a:srgbClr val="000000"/>
            </a:solidFill>
            <a:uFillTx/>
            <a:latin typeface="+mn-lt"/>
            <a:ea typeface="+mn-ea"/>
            <a:cs typeface="+mn-cs"/>
            <a:sym typeface="Helvetica Neue"/>
          </a:endParaRPr>
        </a:p>
      </xdr:txBody>
    </xdr:sp>
    <xdr:clientData/>
  </xdr:twoCellAnchor>
</xdr:wsDr>
</file>

<file path=xl/theme/theme1.xml><?xml version="1.0" encoding="utf-8"?>
<a:theme xmlns:a="http://schemas.openxmlformats.org/drawingml/2006/main" xmlns:r="http://schemas.openxmlformats.org/officeDocument/2006/relationships" name="21_BasicCategories">
  <a:themeElements>
    <a:clrScheme name="21_BasicCategories">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21_BasicCategories">
      <a:majorFont>
        <a:latin typeface="Helvetica Neue"/>
        <a:ea typeface="Helvetica Neue"/>
        <a:cs typeface="Helvetica Neue"/>
      </a:majorFont>
      <a:minorFont>
        <a:latin typeface="Helvetica Neue"/>
        <a:ea typeface="Helvetica Neue"/>
        <a:cs typeface="Helvetica Neue"/>
      </a:minorFont>
    </a:fontScheme>
    <a:fmtScheme name="21_BasicCategorie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51</v>
      </c>
      <c r="C11" s="3"/>
      <c r="D11" s="3"/>
    </row>
    <row r="12">
      <c r="B12" s="4"/>
      <c r="C12" t="s" s="4">
        <v>52</v>
      </c>
      <c r="D12" t="s" s="5">
        <v>51</v>
      </c>
    </row>
    <row r="13">
      <c r="B13" t="s" s="3">
        <v>71</v>
      </c>
      <c r="C13" s="3"/>
      <c r="D13" s="3"/>
    </row>
    <row r="14">
      <c r="B14" s="4"/>
      <c r="C14" t="s" s="4">
        <v>72</v>
      </c>
      <c r="D14" t="s" s="5">
        <v>73</v>
      </c>
    </row>
    <row r="15">
      <c r="B15" t="s" s="3">
        <v>306</v>
      </c>
      <c r="C15" s="3"/>
      <c r="D15" s="3"/>
    </row>
    <row r="16">
      <c r="B16" s="4"/>
      <c r="C16" t="s" s="4">
        <v>72</v>
      </c>
      <c r="D16" t="s" s="5">
        <v>307</v>
      </c>
    </row>
    <row r="17">
      <c r="B17" t="s" s="3">
        <v>314</v>
      </c>
      <c r="C17" s="3"/>
      <c r="D17" s="3"/>
    </row>
    <row r="18">
      <c r="B18" s="4"/>
      <c r="C18" t="s" s="4">
        <v>315</v>
      </c>
      <c r="D18" t="s" s="5">
        <v>316</v>
      </c>
    </row>
    <row r="19">
      <c r="B19" t="s" s="3">
        <v>388</v>
      </c>
      <c r="C19" s="3"/>
      <c r="D19" s="3"/>
    </row>
    <row r="20">
      <c r="B20" s="4"/>
      <c r="C20" t="s" s="4">
        <v>389</v>
      </c>
      <c r="D20" t="s" s="5">
        <v>390</v>
      </c>
    </row>
    <row r="21">
      <c r="B21" t="s" s="3">
        <v>397</v>
      </c>
      <c r="C21" s="3"/>
      <c r="D21" s="3"/>
    </row>
    <row r="22">
      <c r="B22" s="4"/>
      <c r="C22" t="s" s="4">
        <v>398</v>
      </c>
      <c r="D22" t="s" s="5">
        <v>399</v>
      </c>
    </row>
    <row r="23">
      <c r="B23" t="s" s="3">
        <v>405</v>
      </c>
      <c r="C23" s="3"/>
      <c r="D23" s="3"/>
    </row>
    <row r="24">
      <c r="B24" s="4"/>
      <c r="C24" t="s" s="4">
        <v>406</v>
      </c>
      <c r="D24" t="s" s="5">
        <v>407</v>
      </c>
    </row>
    <row r="25">
      <c r="B25" t="s" s="3">
        <v>416</v>
      </c>
      <c r="C25" s="3"/>
      <c r="D25" s="3"/>
    </row>
    <row r="26">
      <c r="B26" s="4"/>
      <c r="C26" t="s" s="4">
        <v>417</v>
      </c>
      <c r="D26" t="s" s="5">
        <v>416</v>
      </c>
    </row>
  </sheetData>
  <mergeCells count="1">
    <mergeCell ref="B3:D3"/>
  </mergeCells>
  <hyperlinks>
    <hyperlink ref="D10" location="'Merchandise Purchases - Merch P'!R2C1" tooltip="" display="Merchandise Purchases - Merch P"/>
    <hyperlink ref="D12" location="'Item Information, Pricing, Cost'!R2C1" tooltip="" display="Item Information, Pricing, Cost"/>
    <hyperlink ref="D14" location="'Sales Tracking, Channel Analysi'!R2C1" tooltip="" display="Sales Tracking, Channel Analysi"/>
    <hyperlink ref="D16" location="'Sales Tracking, Channel Analys1'!R2C1" tooltip="" display="Sales Tracking, Channel Analys1"/>
    <hyperlink ref="D18" location="'Quadrants USA_CAN - North Ameri'!R2C1" tooltip="" display="Quadrants USA_CAN - North Ameri"/>
    <hyperlink ref="D20" location="'Performance Insights - Merch Pe'!R2C1" tooltip="" display="Performance Insights - Merch Pe"/>
    <hyperlink ref="D22" location="'Trends- Annual - Merch Trends'!R2C1" tooltip="" display="Trends- Annual - Merch Trends"/>
    <hyperlink ref="D24" location="'Optimization Opportunities - Me'!R2C1" tooltip="" display="Optimization Opportunities - Me"/>
    <hyperlink ref="D26" location="'Taxes'!R1C1" tooltip="" display="Taxes"/>
  </hyperlinks>
</worksheet>
</file>

<file path=xl/worksheets/sheet2.xml><?xml version="1.0" encoding="utf-8"?>
<worksheet xmlns:r="http://schemas.openxmlformats.org/officeDocument/2006/relationships" xmlns="http://schemas.openxmlformats.org/spreadsheetml/2006/main">
  <dimension ref="A2:X18"/>
  <sheetViews>
    <sheetView workbookViewId="0" showGridLines="0" defaultGridColor="1">
      <pane topLeftCell="D3" xSplit="3" ySplit="2" activePane="bottomRight" state="frozen"/>
    </sheetView>
  </sheetViews>
  <sheetFormatPr defaultColWidth="16.3333" defaultRowHeight="19.9" customHeight="1" outlineLevelRow="0" outlineLevelCol="0"/>
  <cols>
    <col min="1" max="1" width="18.9688" style="6" customWidth="1"/>
    <col min="2" max="2" width="16.1719" style="6" customWidth="1"/>
    <col min="3" max="3" width="5.11719" style="6" customWidth="1"/>
    <col min="4" max="4" width="12.2656" style="6" customWidth="1"/>
    <col min="5" max="5" width="16.1719" style="6" customWidth="1"/>
    <col min="6" max="6" width="10.7109" style="6" customWidth="1"/>
    <col min="7" max="7" width="13.5781" style="6" customWidth="1"/>
    <col min="8" max="8" width="10.1562" style="6" customWidth="1"/>
    <col min="9" max="10" width="10.7109" style="6" customWidth="1"/>
    <col min="11" max="11" width="16.2109" style="6" customWidth="1"/>
    <col min="12" max="12" width="10.7109" style="6" customWidth="1"/>
    <col min="13" max="14" width="8.55469" style="6" customWidth="1"/>
    <col min="15" max="15" width="10.7578" style="6" customWidth="1"/>
    <col min="16" max="16" width="7.875" style="6" customWidth="1"/>
    <col min="17" max="17" width="13.125" style="6" customWidth="1"/>
    <col min="18" max="18" width="8.19531" style="6" customWidth="1"/>
    <col min="19" max="19" width="8.44531" style="6" customWidth="1"/>
    <col min="20" max="22" width="16.1719" style="6" customWidth="1"/>
    <col min="23" max="23" width="19.0078" style="6" customWidth="1"/>
    <col min="24" max="24" width="18.2656" style="6" customWidth="1"/>
    <col min="25" max="16384" width="16.3516" style="6" customWidth="1"/>
  </cols>
  <sheetData>
    <row r="1" ht="27.65" customHeight="1">
      <c r="A1" t="s" s="7">
        <v>5</v>
      </c>
      <c r="B1" s="7"/>
      <c r="C1" s="7"/>
      <c r="D1" s="7"/>
      <c r="E1" s="7"/>
      <c r="F1" s="7"/>
      <c r="G1" s="7"/>
      <c r="H1" s="7"/>
      <c r="I1" s="7"/>
      <c r="J1" s="7"/>
      <c r="K1" s="7"/>
      <c r="L1" s="7"/>
      <c r="M1" s="7"/>
      <c r="N1" s="7"/>
      <c r="O1" s="7"/>
      <c r="P1" s="7"/>
      <c r="Q1" s="7"/>
      <c r="R1" s="7"/>
      <c r="S1" s="7"/>
      <c r="T1" s="7"/>
      <c r="U1" s="7"/>
      <c r="V1" s="7"/>
      <c r="W1" s="7"/>
      <c r="X1" s="7"/>
    </row>
    <row r="2" ht="102.7" customHeight="1">
      <c r="A2" t="s" s="8">
        <v>7</v>
      </c>
      <c r="B2" t="s" s="8">
        <v>8</v>
      </c>
      <c r="C2" t="s" s="9">
        <v>9</v>
      </c>
      <c r="D2" t="s" s="9">
        <v>10</v>
      </c>
      <c r="E2" t="s" s="9">
        <v>11</v>
      </c>
      <c r="F2" t="s" s="9">
        <v>12</v>
      </c>
      <c r="G2" t="s" s="8">
        <v>13</v>
      </c>
      <c r="H2" t="s" s="8">
        <v>14</v>
      </c>
      <c r="I2" t="s" s="9">
        <v>15</v>
      </c>
      <c r="J2" t="s" s="9">
        <v>16</v>
      </c>
      <c r="K2" t="s" s="8">
        <v>17</v>
      </c>
      <c r="L2" t="s" s="9">
        <v>18</v>
      </c>
      <c r="M2" t="s" s="9">
        <v>19</v>
      </c>
      <c r="N2" t="s" s="9">
        <v>20</v>
      </c>
      <c r="O2" t="s" s="9">
        <v>21</v>
      </c>
      <c r="P2" t="s" s="9">
        <v>22</v>
      </c>
      <c r="Q2" t="s" s="8">
        <v>23</v>
      </c>
      <c r="R2" t="s" s="10">
        <v>24</v>
      </c>
      <c r="S2" t="s" s="11">
        <v>25</v>
      </c>
      <c r="T2" t="s" s="8">
        <v>26</v>
      </c>
      <c r="U2" t="s" s="8">
        <v>27</v>
      </c>
      <c r="V2" t="s" s="11">
        <v>28</v>
      </c>
      <c r="W2" t="s" s="11">
        <v>29</v>
      </c>
      <c r="X2" t="s" s="8">
        <v>30</v>
      </c>
    </row>
    <row r="3" ht="20.25" customHeight="1">
      <c r="A3" t="s" s="12">
        <v>31</v>
      </c>
      <c r="B3" t="s" s="12">
        <v>32</v>
      </c>
      <c r="C3" s="13"/>
      <c r="D3" t="s" s="14">
        <v>33</v>
      </c>
      <c r="E3" s="15">
        <v>45615</v>
      </c>
      <c r="F3" s="16">
        <v>50</v>
      </c>
      <c r="G3" s="16">
        <v>0</v>
      </c>
      <c r="H3" s="16">
        <v>0</v>
      </c>
      <c r="I3" s="17"/>
      <c r="J3" s="18">
        <v>41.9</v>
      </c>
      <c r="K3" s="18" cm="1">
        <f t="array" ref="K3">L3/F3</f>
        <v>8.638</v>
      </c>
      <c r="L3" s="18">
        <v>431.9</v>
      </c>
      <c r="M3" s="18" cm="1">
        <f t="array" ref="M3">0.5*0.5*4</f>
        <v>1</v>
      </c>
      <c r="N3" s="17"/>
      <c r="O3" s="18" cm="1">
        <f t="array" ref="O3">N3*0.00220462</f>
        <v>0</v>
      </c>
      <c r="P3" s="18">
        <v>0.03</v>
      </c>
      <c r="Q3" s="19" cm="1">
        <f t="array" ref="Q3">M3/P3</f>
        <v>33.3333333333333</v>
      </c>
      <c r="R3" s="20">
        <v>25</v>
      </c>
      <c r="S3" s="18" cm="1">
        <f t="array" ref="S3">R3-K3</f>
        <v>16.362</v>
      </c>
      <c r="T3" s="21" cm="1">
        <f t="array" ref="T3">S3/R3</f>
        <v>0.65448</v>
      </c>
      <c r="U3" s="22" cm="1">
        <f t="array" ref="U3">RANK(_xlfn.SINGLE(T2:T18),T3:T18,0)</f>
        <v>3</v>
      </c>
      <c r="V3" s="16">
        <v>1</v>
      </c>
      <c r="W3" s="16">
        <v>1</v>
      </c>
      <c r="X3" s="16" cm="1">
        <f t="array" ref="X3">U3+V3+W3</f>
        <v>5</v>
      </c>
    </row>
    <row r="4" ht="20.05" customHeight="1">
      <c r="A4" t="s" s="23">
        <v>31</v>
      </c>
      <c r="B4" t="s" s="23">
        <v>32</v>
      </c>
      <c r="C4" s="24"/>
      <c r="D4" t="s" s="25">
        <v>33</v>
      </c>
      <c r="E4" s="26">
        <v>45595</v>
      </c>
      <c r="F4" s="27">
        <v>10</v>
      </c>
      <c r="G4" s="27">
        <v>0</v>
      </c>
      <c r="H4" s="27">
        <v>0</v>
      </c>
      <c r="I4" s="28"/>
      <c r="J4" s="29" cm="1">
        <f t="array" ref="J4">L4*0.1024</f>
        <v>9.215999999999999</v>
      </c>
      <c r="K4" s="29" cm="1">
        <f t="array" ref="K4">L4/F4</f>
        <v>9</v>
      </c>
      <c r="L4" s="29">
        <v>90</v>
      </c>
      <c r="M4" s="29" cm="1">
        <f t="array" ref="M4">0.5*0.5*4</f>
        <v>1</v>
      </c>
      <c r="N4" s="28"/>
      <c r="O4" s="29" cm="1">
        <f t="array" ref="O4">N4*0.00220462</f>
        <v>0</v>
      </c>
      <c r="P4" s="29">
        <v>0.03</v>
      </c>
      <c r="Q4" s="30" cm="1">
        <f t="array" ref="Q4">M4/P4</f>
        <v>33.3333333333333</v>
      </c>
      <c r="R4" s="31">
        <v>25</v>
      </c>
      <c r="S4" s="29" cm="1">
        <f t="array" ref="S4">R4-K4</f>
        <v>16</v>
      </c>
      <c r="T4" s="32" cm="1">
        <f t="array" ref="T4">S4/R4</f>
        <v>0.64</v>
      </c>
      <c r="U4" s="33" cm="1">
        <f t="array" ref="U4">RANK(_xlfn.SINGLE(T2:T18),T3:T17,0)</f>
        <v>5</v>
      </c>
      <c r="V4" s="27">
        <v>1</v>
      </c>
      <c r="W4" s="27">
        <v>1</v>
      </c>
      <c r="X4" s="27" cm="1">
        <f t="array" ref="X4">U4+V4+W4</f>
        <v>7</v>
      </c>
    </row>
    <row r="5" ht="20.05" customHeight="1">
      <c r="A5" t="s" s="23">
        <v>34</v>
      </c>
      <c r="B5" t="s" s="23">
        <v>32</v>
      </c>
      <c r="C5" s="24"/>
      <c r="D5" t="s" s="34">
        <v>33</v>
      </c>
      <c r="E5" s="35">
        <v>45595</v>
      </c>
      <c r="F5" s="36">
        <v>22</v>
      </c>
      <c r="G5" s="36">
        <v>0</v>
      </c>
      <c r="H5" s="36">
        <v>0</v>
      </c>
      <c r="I5" s="36">
        <v>21.29</v>
      </c>
      <c r="J5" s="37" cm="1">
        <f t="array" ref="J5">I5*0.1024</f>
        <v>2.180096</v>
      </c>
      <c r="K5" s="37" cm="1">
        <f t="array" ref="K5">I5+J5</f>
        <v>23.470096</v>
      </c>
      <c r="L5" s="37" cm="1">
        <f t="array" ref="L5">K5*F5</f>
        <v>516.342112</v>
      </c>
      <c r="M5" s="37" cm="1">
        <f t="array" ref="M5">2.8*1.8*1</f>
        <v>5.04</v>
      </c>
      <c r="N5" s="36">
        <v>40</v>
      </c>
      <c r="O5" s="37" cm="1">
        <f t="array" ref="O5">N5*0.00220462</f>
        <v>0.08818479999999999</v>
      </c>
      <c r="P5" s="37" cm="1">
        <f t="array" ref="P5">O5</f>
        <v>0.08818479999999999</v>
      </c>
      <c r="Q5" s="38" cm="1">
        <f t="array" ref="Q5">M5/P5</f>
        <v>57.1527065888906</v>
      </c>
      <c r="R5" s="39">
        <v>45</v>
      </c>
      <c r="S5" s="37" cm="1">
        <f t="array" ref="S5">R5-K5</f>
        <v>21.529904</v>
      </c>
      <c r="T5" s="40" cm="1">
        <f t="array" ref="T5">S5/R5</f>
        <v>0.478442311111111</v>
      </c>
      <c r="U5" s="41" cm="1">
        <f t="array" ref="U5">RANK(_xlfn.SINGLE(T2:T18),T3:T18,0)</f>
        <v>9</v>
      </c>
      <c r="V5" s="36">
        <v>1</v>
      </c>
      <c r="W5" s="36">
        <v>1</v>
      </c>
      <c r="X5" s="36" cm="1">
        <f t="array" ref="X5">U5+V5+W5</f>
        <v>11</v>
      </c>
    </row>
    <row r="6" ht="20.05" customHeight="1">
      <c r="A6" t="s" s="23">
        <v>35</v>
      </c>
      <c r="B6" t="s" s="23">
        <v>36</v>
      </c>
      <c r="C6" s="24"/>
      <c r="D6" t="s" s="25">
        <v>33</v>
      </c>
      <c r="E6" s="26">
        <v>45595</v>
      </c>
      <c r="F6" s="27">
        <v>12</v>
      </c>
      <c r="G6" s="27">
        <v>0</v>
      </c>
      <c r="H6" s="27">
        <v>0</v>
      </c>
      <c r="I6" s="28"/>
      <c r="J6" s="29" cm="1">
        <f t="array" ref="J6">L6*0.1024</f>
        <v>14.7456</v>
      </c>
      <c r="K6" s="29" cm="1">
        <f t="array" ref="K6">L6/F6</f>
        <v>12</v>
      </c>
      <c r="L6" s="29">
        <v>144</v>
      </c>
      <c r="M6" s="29" cm="1">
        <f t="array" ref="M6">3*2.17*1.18</f>
        <v>7.6818</v>
      </c>
      <c r="N6" s="27">
        <v>87</v>
      </c>
      <c r="O6" s="29" cm="1">
        <f t="array" ref="O6">N6*0.00220462</f>
        <v>0.19180194</v>
      </c>
      <c r="P6" s="29" cm="1">
        <f t="array" ref="P6">O6</f>
        <v>0.19180194</v>
      </c>
      <c r="Q6" s="30" cm="1">
        <f t="array" ref="Q6">M6/P6</f>
        <v>40.0506897896862</v>
      </c>
      <c r="R6" s="31">
        <v>20</v>
      </c>
      <c r="S6" s="29" cm="1">
        <f t="array" ref="S6">R6-K6</f>
        <v>8</v>
      </c>
      <c r="T6" s="32" cm="1">
        <f t="array" ref="T6">S6/R6</f>
        <v>0.4</v>
      </c>
      <c r="U6" s="33" cm="1">
        <f t="array" ref="U6">RANK(_xlfn.SINGLE(T2:T18),T3:T18,0)</f>
        <v>10</v>
      </c>
      <c r="V6" s="27">
        <v>2</v>
      </c>
      <c r="W6" s="27">
        <v>1</v>
      </c>
      <c r="X6" s="27" cm="1">
        <f t="array" ref="X6">U6+V6+W6</f>
        <v>13</v>
      </c>
    </row>
    <row r="7" ht="20.05" customHeight="1">
      <c r="A7" t="s" s="23">
        <v>37</v>
      </c>
      <c r="B7" t="s" s="23">
        <v>38</v>
      </c>
      <c r="C7" s="24"/>
      <c r="D7" t="s" s="34">
        <v>33</v>
      </c>
      <c r="E7" s="35">
        <v>45595</v>
      </c>
      <c r="F7" s="36">
        <v>4</v>
      </c>
      <c r="G7" s="36">
        <v>0</v>
      </c>
      <c r="H7" s="36">
        <v>0</v>
      </c>
      <c r="I7" s="42"/>
      <c r="J7" s="37" cm="1">
        <f t="array" ref="J7">L7*0.1024</f>
        <v>6.5536</v>
      </c>
      <c r="K7" s="37" cm="1">
        <f t="array" ref="K7">L7/F7</f>
        <v>16</v>
      </c>
      <c r="L7" s="37">
        <v>64</v>
      </c>
      <c r="M7" s="37" cm="1">
        <f t="array" ref="M7">1.5*2*1</f>
        <v>3</v>
      </c>
      <c r="N7" s="42"/>
      <c r="O7" s="37" cm="1">
        <f t="array" ref="O7">N7*0.00220462</f>
        <v>0</v>
      </c>
      <c r="P7" s="37">
        <v>0.11</v>
      </c>
      <c r="Q7" s="38" cm="1">
        <f t="array" ref="Q7">M7/P7</f>
        <v>27.2727272727273</v>
      </c>
      <c r="R7" s="39">
        <v>60</v>
      </c>
      <c r="S7" s="37" cm="1">
        <f t="array" ref="S7">R7-K7</f>
        <v>44</v>
      </c>
      <c r="T7" s="40" cm="1">
        <f t="array" ref="T7">S7/R7</f>
        <v>0.7333333333333329</v>
      </c>
      <c r="U7" s="41" cm="1">
        <f t="array" ref="U7">RANK(_xlfn.SINGLE(T2:T18),T3:T18,0)</f>
        <v>2</v>
      </c>
      <c r="V7" s="36">
        <v>1</v>
      </c>
      <c r="W7" s="36">
        <v>1</v>
      </c>
      <c r="X7" s="36" cm="1">
        <f t="array" ref="X7">U7+V7+W7</f>
        <v>4</v>
      </c>
    </row>
    <row r="8" ht="20.05" customHeight="1">
      <c r="A8" t="s" s="23">
        <v>39</v>
      </c>
      <c r="B8" t="s" s="23">
        <v>40</v>
      </c>
      <c r="C8" s="24"/>
      <c r="D8" t="s" s="25">
        <v>33</v>
      </c>
      <c r="E8" s="26">
        <v>45595</v>
      </c>
      <c r="F8" s="27">
        <v>100</v>
      </c>
      <c r="G8" s="27">
        <v>0</v>
      </c>
      <c r="H8" s="27">
        <v>0</v>
      </c>
      <c r="I8" s="28"/>
      <c r="J8" s="29">
        <v>41</v>
      </c>
      <c r="K8" s="29" cm="1">
        <f t="array" ref="K8">L8/F8</f>
        <v>4.4095</v>
      </c>
      <c r="L8" s="29">
        <v>440.95</v>
      </c>
      <c r="M8" s="29">
        <v>0.3</v>
      </c>
      <c r="N8" s="28"/>
      <c r="O8" s="29" cm="1">
        <f t="array" ref="O8">N8*0.00220462</f>
        <v>0</v>
      </c>
      <c r="P8" s="29">
        <v>0.025</v>
      </c>
      <c r="Q8" s="30" cm="1">
        <f t="array" ref="Q8">M8/P8</f>
        <v>12</v>
      </c>
      <c r="R8" s="31">
        <v>12</v>
      </c>
      <c r="S8" s="29" cm="1">
        <f t="array" ref="S8">R8-K8</f>
        <v>7.5905</v>
      </c>
      <c r="T8" s="32" cm="1">
        <f t="array" ref="T8">S8/R8</f>
        <v>0.632541666666667</v>
      </c>
      <c r="U8" s="33" cm="1">
        <f t="array" ref="U8">RANK(_xlfn.SINGLE(T2:T18),T3:T18,0)</f>
        <v>6</v>
      </c>
      <c r="V8" s="27">
        <v>1</v>
      </c>
      <c r="W8" s="27">
        <v>1</v>
      </c>
      <c r="X8" s="27" cm="1">
        <f t="array" ref="X8">U8+V8+W8</f>
        <v>8</v>
      </c>
    </row>
    <row r="9" ht="20.05" customHeight="1">
      <c r="A9" t="s" s="23">
        <v>41</v>
      </c>
      <c r="B9" t="s" s="23">
        <v>42</v>
      </c>
      <c r="C9" s="24"/>
      <c r="D9" t="s" s="34">
        <v>33</v>
      </c>
      <c r="E9" s="35">
        <v>45595</v>
      </c>
      <c r="F9" s="36">
        <v>4</v>
      </c>
      <c r="G9" s="36">
        <v>0</v>
      </c>
      <c r="H9" s="36">
        <v>0</v>
      </c>
      <c r="I9" s="36">
        <v>9.98</v>
      </c>
      <c r="J9" s="37" cm="1">
        <f t="array" ref="J9">I9*0.1024</f>
        <v>1.021952</v>
      </c>
      <c r="K9" s="37" cm="1">
        <f t="array" ref="K9">I9+J9</f>
        <v>11.001952</v>
      </c>
      <c r="L9" s="37" cm="1">
        <f t="array" ref="L9">K9*F9</f>
        <v>44.007808</v>
      </c>
      <c r="M9" s="37" cm="1">
        <f t="array" ref="M9">0.4*0.4*0.4</f>
        <v>0.064</v>
      </c>
      <c r="N9" s="36">
        <v>5</v>
      </c>
      <c r="O9" s="37" cm="1">
        <f t="array" ref="O9">N9*0.00220462</f>
        <v>0.0110231</v>
      </c>
      <c r="P9" s="37" cm="1">
        <f t="array" ref="P9">O9</f>
        <v>0.0110231</v>
      </c>
      <c r="Q9" s="38" cm="1">
        <f t="array" ref="Q9">M9/P9</f>
        <v>5.80598924077619</v>
      </c>
      <c r="R9" s="39">
        <v>25</v>
      </c>
      <c r="S9" s="37" cm="1">
        <f t="array" ref="S9">R9-K9</f>
        <v>13.998048</v>
      </c>
      <c r="T9" s="40" cm="1">
        <f t="array" ref="T9">S9/R9</f>
        <v>0.55992192</v>
      </c>
      <c r="U9" s="41" cm="1">
        <f t="array" ref="U9">RANK(_xlfn.SINGLE(T2:T18),T3:T18,0)</f>
        <v>7</v>
      </c>
      <c r="V9" s="36">
        <v>2</v>
      </c>
      <c r="W9" s="36">
        <v>1</v>
      </c>
      <c r="X9" s="36" cm="1">
        <f t="array" ref="X9">U9+V9+W9</f>
        <v>10</v>
      </c>
    </row>
    <row r="10" ht="20.05" customHeight="1">
      <c r="A10" t="s" s="23">
        <v>43</v>
      </c>
      <c r="B10" t="s" s="23">
        <v>42</v>
      </c>
      <c r="C10" s="24"/>
      <c r="D10" t="s" s="25">
        <v>33</v>
      </c>
      <c r="E10" s="26">
        <v>45595</v>
      </c>
      <c r="F10" s="27">
        <v>4</v>
      </c>
      <c r="G10" s="27">
        <v>0</v>
      </c>
      <c r="H10" s="27">
        <v>0</v>
      </c>
      <c r="I10" s="27">
        <v>7.98</v>
      </c>
      <c r="J10" s="29" cm="1">
        <f t="array" ref="J10">I10*0.1024</f>
        <v>0.817152</v>
      </c>
      <c r="K10" s="29" cm="1">
        <f t="array" ref="K10">I10+J10</f>
        <v>8.797152000000001</v>
      </c>
      <c r="L10" s="29" cm="1">
        <f t="array" ref="L10">K10*F10</f>
        <v>35.188608</v>
      </c>
      <c r="M10" s="29" cm="1">
        <f t="array" ref="M10">0.4*0.4*0.4</f>
        <v>0.064</v>
      </c>
      <c r="N10" s="27">
        <v>5</v>
      </c>
      <c r="O10" s="29" cm="1">
        <f t="array" ref="O10">N10*0.00220462</f>
        <v>0.0110231</v>
      </c>
      <c r="P10" s="29" cm="1">
        <f t="array" ref="P10">O10</f>
        <v>0.0110231</v>
      </c>
      <c r="Q10" s="30" cm="1">
        <f t="array" ref="Q10">M10/P10</f>
        <v>5.80598924077619</v>
      </c>
      <c r="R10" s="31">
        <v>25</v>
      </c>
      <c r="S10" s="29" cm="1">
        <f t="array" ref="S10">R10-K10</f>
        <v>16.202848</v>
      </c>
      <c r="T10" s="32" cm="1">
        <f t="array" ref="T10">S10/R10</f>
        <v>0.64811392</v>
      </c>
      <c r="U10" s="33" cm="1">
        <f t="array" ref="U10">RANK(_xlfn.SINGLE(T2:T18),T3:T18,0)</f>
        <v>4</v>
      </c>
      <c r="V10" s="27">
        <v>2</v>
      </c>
      <c r="W10" s="27">
        <v>1</v>
      </c>
      <c r="X10" s="27" cm="1">
        <f t="array" ref="X10">U10+V10+W10</f>
        <v>7</v>
      </c>
    </row>
    <row r="11" ht="20.05" customHeight="1">
      <c r="A11" t="s" s="23">
        <v>44</v>
      </c>
      <c r="B11" t="s" s="23">
        <v>45</v>
      </c>
      <c r="C11" s="24"/>
      <c r="D11" t="s" s="34">
        <v>46</v>
      </c>
      <c r="E11" t="s" s="43">
        <v>47</v>
      </c>
      <c r="F11" s="36">
        <v>50</v>
      </c>
      <c r="G11" s="36">
        <v>0</v>
      </c>
      <c r="H11" s="36">
        <v>0</v>
      </c>
      <c r="I11" s="42"/>
      <c r="J11" s="37"/>
      <c r="K11" s="36">
        <v>2.08</v>
      </c>
      <c r="L11" s="37" cm="1">
        <f t="array" ref="L11">K11*F11</f>
        <v>104</v>
      </c>
      <c r="M11" s="37">
        <v>0.1</v>
      </c>
      <c r="N11" s="36">
        <v>2.5</v>
      </c>
      <c r="O11" s="37" cm="1">
        <f t="array" ref="O11">N11*0.00220462</f>
        <v>0.00551155</v>
      </c>
      <c r="P11" s="37" cm="1">
        <f t="array" ref="P11">O11</f>
        <v>0.00551155</v>
      </c>
      <c r="Q11" s="38" cm="1">
        <f t="array" ref="Q11">M11/P11</f>
        <v>18.1437163774256</v>
      </c>
      <c r="R11" s="39">
        <v>4</v>
      </c>
      <c r="S11" s="36" cm="1">
        <f t="array" ref="S11">R11-K11</f>
        <v>1.92</v>
      </c>
      <c r="T11" s="40" cm="1">
        <f t="array" ref="T11">S11/R11</f>
        <v>0.48</v>
      </c>
      <c r="U11" s="41" cm="1">
        <f t="array" ref="U11">RANK(_xlfn.SINGLE(T2:T18),T3:T18,0)</f>
        <v>8</v>
      </c>
      <c r="V11" s="36">
        <v>2</v>
      </c>
      <c r="W11" s="36">
        <v>1</v>
      </c>
      <c r="X11" s="36" cm="1">
        <f t="array" ref="X11">U11+V11+W11</f>
        <v>11</v>
      </c>
    </row>
    <row r="12" ht="20.05" customHeight="1">
      <c r="A12" t="s" s="23">
        <v>48</v>
      </c>
      <c r="B12" t="s" s="23">
        <v>49</v>
      </c>
      <c r="C12" s="24"/>
      <c r="D12" t="s" s="25">
        <v>33</v>
      </c>
      <c r="E12" t="s" s="44">
        <v>50</v>
      </c>
      <c r="F12" s="27">
        <v>200</v>
      </c>
      <c r="G12" s="28"/>
      <c r="H12" s="28"/>
      <c r="I12" s="28"/>
      <c r="J12" s="29"/>
      <c r="K12" s="27">
        <v>0.33</v>
      </c>
      <c r="L12" s="27">
        <v>67.23</v>
      </c>
      <c r="M12" s="29" cm="1">
        <f t="array" ref="M12">1.18*1.18*0.6</f>
        <v>0.83544</v>
      </c>
      <c r="N12" s="27">
        <v>9</v>
      </c>
      <c r="O12" s="29" cm="1">
        <f t="array" ref="O12">N12*0.00220462</f>
        <v>0.01984158</v>
      </c>
      <c r="P12" s="29" cm="1">
        <f t="array" ref="P12">O12</f>
        <v>0.01984158</v>
      </c>
      <c r="Q12" s="30" cm="1">
        <f t="array" ref="Q12">M12/P12</f>
        <v>42.1055178065456</v>
      </c>
      <c r="R12" s="31">
        <v>4</v>
      </c>
      <c r="S12" s="27" cm="1">
        <f t="array" ref="S12">R12-K12</f>
        <v>3.67</v>
      </c>
      <c r="T12" s="32" cm="1">
        <f t="array" ref="T12">S12/R12</f>
        <v>0.9175</v>
      </c>
      <c r="U12" s="33" cm="1">
        <f t="array" ref="U12">RANK(_xlfn.SINGLE(T2:T18),T4:T18,0)</f>
        <v>1</v>
      </c>
      <c r="V12" s="27">
        <v>1</v>
      </c>
      <c r="W12" s="27">
        <v>1</v>
      </c>
      <c r="X12" s="27" cm="1">
        <f t="array" ref="X12">U12+V12+W12</f>
        <v>3</v>
      </c>
    </row>
    <row r="13" ht="20.05" customHeight="1">
      <c r="A13" s="45"/>
      <c r="B13" s="45"/>
      <c r="C13" s="24"/>
      <c r="D13" s="46"/>
      <c r="E13" s="42"/>
      <c r="F13" s="42"/>
      <c r="G13" s="42"/>
      <c r="H13" s="42"/>
      <c r="I13" s="42"/>
      <c r="J13" s="37"/>
      <c r="K13" s="42"/>
      <c r="L13" s="37"/>
      <c r="M13" s="37"/>
      <c r="N13" s="42"/>
      <c r="O13" s="37"/>
      <c r="P13" s="37"/>
      <c r="Q13" s="38"/>
      <c r="R13" s="39"/>
      <c r="S13" s="42"/>
      <c r="T13" s="47"/>
      <c r="U13" s="41"/>
      <c r="V13" s="42"/>
      <c r="W13" s="42"/>
      <c r="X13" s="42"/>
    </row>
    <row r="14" ht="20.05" customHeight="1">
      <c r="A14" s="45"/>
      <c r="B14" s="45"/>
      <c r="C14" s="24"/>
      <c r="D14" s="48"/>
      <c r="E14" s="28"/>
      <c r="F14" s="28"/>
      <c r="G14" s="28"/>
      <c r="H14" s="28"/>
      <c r="I14" s="28"/>
      <c r="J14" s="29"/>
      <c r="K14" s="28"/>
      <c r="L14" s="29"/>
      <c r="M14" s="29"/>
      <c r="N14" s="28"/>
      <c r="O14" s="29"/>
      <c r="P14" s="29"/>
      <c r="Q14" s="30"/>
      <c r="R14" s="31"/>
      <c r="S14" s="28"/>
      <c r="T14" s="32"/>
      <c r="U14" s="33"/>
      <c r="V14" s="28"/>
      <c r="W14" s="28"/>
      <c r="X14" s="28"/>
    </row>
    <row r="15" ht="20.05" customHeight="1">
      <c r="A15" s="45"/>
      <c r="B15" s="45"/>
      <c r="C15" s="24"/>
      <c r="D15" s="46"/>
      <c r="E15" s="42"/>
      <c r="F15" s="42"/>
      <c r="G15" s="42"/>
      <c r="H15" s="42"/>
      <c r="I15" s="42"/>
      <c r="J15" s="37"/>
      <c r="K15" s="42"/>
      <c r="L15" s="37"/>
      <c r="M15" s="37"/>
      <c r="N15" s="42"/>
      <c r="O15" s="37"/>
      <c r="P15" s="37"/>
      <c r="Q15" s="38"/>
      <c r="R15" s="39"/>
      <c r="S15" s="42"/>
      <c r="T15" s="40"/>
      <c r="U15" s="41"/>
      <c r="V15" s="42"/>
      <c r="W15" s="42"/>
      <c r="X15" s="42"/>
    </row>
    <row r="16" ht="20.05" customHeight="1">
      <c r="A16" s="45"/>
      <c r="B16" s="45"/>
      <c r="C16" s="24"/>
      <c r="D16" s="48"/>
      <c r="E16" s="28"/>
      <c r="F16" s="28"/>
      <c r="G16" s="28"/>
      <c r="H16" s="28"/>
      <c r="I16" s="28"/>
      <c r="J16" s="29"/>
      <c r="K16" s="28"/>
      <c r="L16" s="29"/>
      <c r="M16" s="29"/>
      <c r="N16" s="28"/>
      <c r="O16" s="29"/>
      <c r="P16" s="29"/>
      <c r="Q16" s="30"/>
      <c r="R16" s="31"/>
      <c r="S16" s="28"/>
      <c r="T16" s="49"/>
      <c r="U16" s="49"/>
      <c r="V16" s="28"/>
      <c r="W16" s="28"/>
      <c r="X16" s="28"/>
    </row>
    <row r="17" ht="20.05" customHeight="1">
      <c r="A17" s="45"/>
      <c r="B17" s="45"/>
      <c r="C17" s="24"/>
      <c r="D17" s="46"/>
      <c r="E17" s="42"/>
      <c r="F17" s="42"/>
      <c r="G17" s="42"/>
      <c r="H17" s="42"/>
      <c r="I17" s="42"/>
      <c r="J17" s="37"/>
      <c r="K17" s="42"/>
      <c r="L17" s="37"/>
      <c r="M17" s="37"/>
      <c r="N17" s="42"/>
      <c r="O17" s="37"/>
      <c r="P17" s="37"/>
      <c r="Q17" s="38"/>
      <c r="R17" s="39"/>
      <c r="S17" s="42"/>
      <c r="T17" s="40"/>
      <c r="U17" s="40"/>
      <c r="V17" s="42"/>
      <c r="W17" s="42"/>
      <c r="X17" s="42"/>
    </row>
    <row r="18" ht="20.05" customHeight="1">
      <c r="A18" s="45"/>
      <c r="B18" s="45"/>
      <c r="C18" s="24"/>
      <c r="D18" s="48"/>
      <c r="E18" s="28"/>
      <c r="F18" s="28"/>
      <c r="G18" s="28"/>
      <c r="H18" s="28"/>
      <c r="I18" s="28"/>
      <c r="J18" s="29"/>
      <c r="K18" s="28"/>
      <c r="L18" s="29"/>
      <c r="M18" s="29"/>
      <c r="N18" s="28"/>
      <c r="O18" s="29"/>
      <c r="P18" s="29"/>
      <c r="Q18" s="30"/>
      <c r="R18" s="31"/>
      <c r="S18" s="28"/>
      <c r="T18" s="32"/>
      <c r="U18" s="33"/>
      <c r="V18" s="28"/>
      <c r="W18" s="28"/>
      <c r="X18" s="28"/>
    </row>
  </sheetData>
  <mergeCells count="1">
    <mergeCell ref="A1:X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2:L19"/>
  <sheetViews>
    <sheetView workbookViewId="0" showGridLines="0" defaultGridColor="1">
      <pane topLeftCell="D3" xSplit="3" ySplit="2" activePane="bottomRight" state="frozen"/>
    </sheetView>
  </sheetViews>
  <sheetFormatPr defaultColWidth="16.3333" defaultRowHeight="19.9" customHeight="1" outlineLevelRow="0" outlineLevelCol="0"/>
  <cols>
    <col min="1" max="1" width="15.0391" style="50" customWidth="1"/>
    <col min="2" max="2" width="16.1719" style="50" customWidth="1"/>
    <col min="3" max="3" width="5.11719" style="50" customWidth="1"/>
    <col min="4" max="8" width="16.1719" style="50" customWidth="1"/>
    <col min="9" max="9" width="7.70312" style="50" customWidth="1"/>
    <col min="10" max="10" width="10.75" style="50" customWidth="1"/>
    <col min="11" max="12" width="16.1719" style="50" customWidth="1"/>
    <col min="13" max="16384" width="16.3516" style="50" customWidth="1"/>
  </cols>
  <sheetData>
    <row r="1" ht="27.65" customHeight="1">
      <c r="A1" t="s" s="7">
        <v>52</v>
      </c>
      <c r="B1" s="7"/>
      <c r="C1" s="7"/>
      <c r="D1" s="7"/>
      <c r="E1" s="7"/>
      <c r="F1" s="7"/>
      <c r="G1" s="7"/>
      <c r="H1" s="7"/>
      <c r="I1" s="7"/>
      <c r="J1" s="7"/>
      <c r="K1" s="7"/>
      <c r="L1" s="7"/>
    </row>
    <row r="2" ht="92.85" customHeight="1">
      <c r="A2" s="51"/>
      <c r="B2" t="s" s="52">
        <v>7</v>
      </c>
      <c r="C2" t="s" s="52">
        <v>9</v>
      </c>
      <c r="D2" t="s" s="52">
        <v>8</v>
      </c>
      <c r="E2" t="s" s="52">
        <v>10</v>
      </c>
      <c r="F2" t="s" s="52">
        <v>53</v>
      </c>
      <c r="G2" t="s" s="53">
        <v>17</v>
      </c>
      <c r="H2" t="s" s="54">
        <v>54</v>
      </c>
      <c r="I2" t="s" s="55">
        <v>24</v>
      </c>
      <c r="J2" t="s" s="53">
        <v>26</v>
      </c>
      <c r="K2" t="s" s="53">
        <v>27</v>
      </c>
      <c r="L2" t="s" s="53">
        <v>30</v>
      </c>
    </row>
    <row r="3" ht="21.05" customHeight="1">
      <c r="A3" t="s" s="56">
        <v>45</v>
      </c>
      <c r="B3" s="57"/>
      <c r="C3" s="57"/>
      <c r="D3" s="57"/>
      <c r="E3" s="57"/>
      <c r="F3" s="57"/>
      <c r="G3" s="57"/>
      <c r="H3" s="57"/>
      <c r="I3" s="57"/>
      <c r="J3" s="57"/>
      <c r="K3" s="57"/>
      <c r="L3" s="57"/>
    </row>
    <row r="4" ht="21.05" customHeight="1">
      <c r="A4" s="58"/>
      <c r="B4" t="s" s="59">
        <v>55</v>
      </c>
      <c r="C4" s="60"/>
      <c r="D4" t="s" s="61">
        <v>45</v>
      </c>
      <c r="E4" t="s" s="62">
        <v>56</v>
      </c>
      <c r="F4" t="s" s="62">
        <v>57</v>
      </c>
      <c r="G4" s="63">
        <v>2.08</v>
      </c>
      <c r="H4" s="64">
        <v>18</v>
      </c>
      <c r="I4" s="65">
        <v>4</v>
      </c>
      <c r="J4" s="66">
        <v>0.48</v>
      </c>
      <c r="K4" s="63">
        <v>7</v>
      </c>
      <c r="L4" s="63">
        <v>10</v>
      </c>
    </row>
    <row r="5" ht="21.05" customHeight="1">
      <c r="A5" t="s" s="56">
        <v>32</v>
      </c>
      <c r="B5" s="57"/>
      <c r="C5" s="57"/>
      <c r="D5" s="57"/>
      <c r="E5" s="57"/>
      <c r="F5" s="57"/>
      <c r="G5" s="57"/>
      <c r="H5" s="57"/>
      <c r="I5" s="57"/>
      <c r="J5" s="57"/>
      <c r="K5" s="57"/>
      <c r="L5" s="57"/>
    </row>
    <row r="6" ht="20.25" customHeight="1">
      <c r="A6" s="67"/>
      <c r="B6" t="s" s="68">
        <v>58</v>
      </c>
      <c r="C6" s="69"/>
      <c r="D6" t="s" s="70">
        <v>32</v>
      </c>
      <c r="E6" s="71"/>
      <c r="F6" s="71"/>
      <c r="G6" s="71"/>
      <c r="H6" s="71"/>
      <c r="I6" s="71"/>
      <c r="J6" s="72"/>
      <c r="K6" s="71"/>
      <c r="L6" s="71"/>
    </row>
    <row r="7" ht="20.85" customHeight="1">
      <c r="A7" s="73"/>
      <c r="B7" t="s" s="74">
        <v>31</v>
      </c>
      <c r="C7" s="75"/>
      <c r="D7" t="s" s="76">
        <v>32</v>
      </c>
      <c r="E7" s="77"/>
      <c r="F7" s="77"/>
      <c r="G7" s="77"/>
      <c r="H7" s="77"/>
      <c r="I7" s="77"/>
      <c r="J7" s="78"/>
      <c r="K7" s="77"/>
      <c r="L7" s="77"/>
    </row>
    <row r="8" ht="21.7" customHeight="1">
      <c r="A8" t="s" s="79">
        <v>59</v>
      </c>
      <c r="B8" s="80"/>
      <c r="C8" s="80"/>
      <c r="D8" s="80"/>
      <c r="E8" s="80"/>
      <c r="F8" s="80"/>
      <c r="G8" s="80"/>
      <c r="H8" s="80"/>
      <c r="I8" s="80"/>
      <c r="J8" s="80"/>
      <c r="K8" s="80"/>
      <c r="L8" s="80"/>
    </row>
    <row r="9" ht="10" customHeight="1" hidden="1">
      <c r="A9" s="81"/>
      <c r="B9" t="s" s="82">
        <v>60</v>
      </c>
      <c r="C9" s="83"/>
      <c r="D9" t="s" s="84">
        <v>59</v>
      </c>
      <c r="E9" s="85"/>
      <c r="F9" s="85"/>
      <c r="G9" s="85"/>
      <c r="H9" s="85"/>
      <c r="I9" s="85"/>
      <c r="J9" s="85"/>
      <c r="K9" s="85"/>
      <c r="L9" s="85"/>
    </row>
    <row r="10" ht="10" customHeight="1" hidden="1">
      <c r="A10" s="81"/>
      <c r="B10" t="s" s="82">
        <v>61</v>
      </c>
      <c r="C10" s="83"/>
      <c r="D10" t="s" s="86">
        <v>59</v>
      </c>
      <c r="E10" s="87"/>
      <c r="F10" s="87"/>
      <c r="G10" s="87"/>
      <c r="H10" s="87"/>
      <c r="I10" s="87"/>
      <c r="J10" s="87"/>
      <c r="K10" s="87"/>
      <c r="L10" s="87"/>
    </row>
    <row r="11" ht="10" customHeight="1" hidden="1">
      <c r="A11" s="81"/>
      <c r="B11" t="s" s="82">
        <v>62</v>
      </c>
      <c r="C11" s="83"/>
      <c r="D11" t="s" s="84">
        <v>59</v>
      </c>
      <c r="E11" s="85"/>
      <c r="F11" s="85"/>
      <c r="G11" s="85"/>
      <c r="H11" s="85"/>
      <c r="I11" s="85"/>
      <c r="J11" s="85"/>
      <c r="K11" s="85"/>
      <c r="L11" s="85"/>
    </row>
    <row r="12" ht="10" customHeight="1" hidden="1">
      <c r="A12" s="81"/>
      <c r="B12" t="s" s="82">
        <v>63</v>
      </c>
      <c r="C12" s="83"/>
      <c r="D12" t="s" s="86">
        <v>59</v>
      </c>
      <c r="E12" s="87"/>
      <c r="F12" s="87"/>
      <c r="G12" s="87"/>
      <c r="H12" s="87"/>
      <c r="I12" s="87"/>
      <c r="J12" s="87"/>
      <c r="K12" s="87"/>
      <c r="L12" s="87"/>
    </row>
    <row r="13" ht="10" customHeight="1" hidden="1">
      <c r="A13" s="81"/>
      <c r="B13" t="s" s="82">
        <v>64</v>
      </c>
      <c r="C13" s="83"/>
      <c r="D13" t="s" s="84">
        <v>59</v>
      </c>
      <c r="E13" s="85"/>
      <c r="F13" s="85"/>
      <c r="G13" s="85"/>
      <c r="H13" s="85"/>
      <c r="I13" s="85"/>
      <c r="J13" s="85"/>
      <c r="K13" s="85"/>
      <c r="L13" s="85"/>
    </row>
    <row r="14" ht="20.85" customHeight="1">
      <c r="A14" t="s" s="88">
        <v>65</v>
      </c>
      <c r="B14" s="89"/>
      <c r="C14" s="89"/>
      <c r="D14" s="89"/>
      <c r="E14" s="89"/>
      <c r="F14" s="89"/>
      <c r="G14" s="89"/>
      <c r="H14" s="89"/>
      <c r="I14" s="89"/>
      <c r="J14" s="89"/>
      <c r="K14" s="89"/>
      <c r="L14" s="89"/>
    </row>
    <row r="15" ht="8.35" customHeight="1" hidden="1">
      <c r="A15" s="90"/>
      <c r="B15" t="s" s="91">
        <v>66</v>
      </c>
      <c r="C15" s="92"/>
      <c r="D15" t="s" s="93">
        <v>65</v>
      </c>
      <c r="E15" s="47"/>
      <c r="F15" s="47"/>
      <c r="G15" s="47"/>
      <c r="H15" s="47"/>
      <c r="I15" s="47"/>
      <c r="J15" s="47"/>
      <c r="K15" s="47"/>
      <c r="L15" s="47"/>
    </row>
    <row r="16" ht="8.35" customHeight="1" hidden="1">
      <c r="A16" s="90"/>
      <c r="B16" t="s" s="91">
        <v>67</v>
      </c>
      <c r="C16" s="92"/>
      <c r="D16" t="s" s="94">
        <v>65</v>
      </c>
      <c r="E16" s="49"/>
      <c r="F16" s="49"/>
      <c r="G16" s="49"/>
      <c r="H16" s="49"/>
      <c r="I16" s="49"/>
      <c r="J16" s="49"/>
      <c r="K16" s="49"/>
      <c r="L16" s="49"/>
    </row>
    <row r="17" ht="8.35" customHeight="1" hidden="1">
      <c r="A17" s="90"/>
      <c r="B17" t="s" s="91">
        <v>68</v>
      </c>
      <c r="C17" s="92"/>
      <c r="D17" t="s" s="93">
        <v>65</v>
      </c>
      <c r="E17" s="47"/>
      <c r="F17" s="47"/>
      <c r="G17" s="47"/>
      <c r="H17" s="47"/>
      <c r="I17" s="47"/>
      <c r="J17" s="47"/>
      <c r="K17" s="47"/>
      <c r="L17" s="47"/>
    </row>
    <row r="18" ht="8.35" customHeight="1" hidden="1">
      <c r="A18" s="90"/>
      <c r="B18" t="s" s="91">
        <v>69</v>
      </c>
      <c r="C18" s="92"/>
      <c r="D18" t="s" s="94">
        <v>65</v>
      </c>
      <c r="E18" s="49"/>
      <c r="F18" s="49"/>
      <c r="G18" s="49"/>
      <c r="H18" s="49"/>
      <c r="I18" s="49"/>
      <c r="J18" s="49"/>
      <c r="K18" s="49"/>
      <c r="L18" s="49"/>
    </row>
    <row r="19" ht="8.35" customHeight="1" hidden="1">
      <c r="A19" s="90"/>
      <c r="B19" t="s" s="91">
        <v>70</v>
      </c>
      <c r="C19" s="92"/>
      <c r="D19" t="s" s="93">
        <v>65</v>
      </c>
      <c r="E19" s="47"/>
      <c r="F19" s="47"/>
      <c r="G19" s="47"/>
      <c r="H19" s="47"/>
      <c r="I19" s="47"/>
      <c r="J19" s="47"/>
      <c r="K19" s="47"/>
      <c r="L19" s="47"/>
    </row>
  </sheetData>
  <mergeCells count="1">
    <mergeCell ref="A1:L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K22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95" customWidth="1"/>
    <col min="5" max="5" width="9.25781" style="95" customWidth="1"/>
    <col min="6" max="6" width="23.3359" style="95" customWidth="1"/>
    <col min="7" max="11" width="16.3516" style="95" customWidth="1"/>
    <col min="12" max="16384" width="16.3516" style="95" customWidth="1"/>
  </cols>
  <sheetData>
    <row r="1" ht="27.65" customHeight="1">
      <c r="A1" t="s" s="7">
        <v>72</v>
      </c>
      <c r="B1" s="7"/>
      <c r="C1" s="7"/>
      <c r="D1" s="7"/>
      <c r="E1" s="7"/>
      <c r="F1" s="7"/>
      <c r="G1" s="7"/>
      <c r="H1" s="7"/>
      <c r="I1" s="7"/>
      <c r="J1" s="7"/>
      <c r="K1" s="7"/>
    </row>
    <row r="2" ht="56.25" customHeight="1">
      <c r="A2" t="s" s="96">
        <v>74</v>
      </c>
      <c r="B2" t="s" s="96">
        <v>75</v>
      </c>
      <c r="C2" t="s" s="96">
        <v>76</v>
      </c>
      <c r="D2" t="s" s="96">
        <v>77</v>
      </c>
      <c r="E2" t="s" s="96">
        <v>78</v>
      </c>
      <c r="F2" t="s" s="96">
        <v>79</v>
      </c>
      <c r="G2" t="s" s="96">
        <v>80</v>
      </c>
      <c r="H2" t="s" s="96">
        <v>24</v>
      </c>
      <c r="I2" t="s" s="96">
        <v>81</v>
      </c>
      <c r="J2" t="s" s="97">
        <v>82</v>
      </c>
      <c r="K2" t="s" s="98">
        <v>83</v>
      </c>
    </row>
    <row r="3" ht="20.55" customHeight="1">
      <c r="A3" t="s" s="99">
        <v>84</v>
      </c>
      <c r="B3" t="s" s="100">
        <v>85</v>
      </c>
      <c r="C3" t="s" s="101">
        <v>86</v>
      </c>
      <c r="D3" t="s" s="101">
        <v>87</v>
      </c>
      <c r="E3" t="s" s="102">
        <v>88</v>
      </c>
      <c r="F3" s="103"/>
      <c r="G3" s="103"/>
      <c r="H3" s="103"/>
      <c r="I3" s="103"/>
      <c r="J3" s="103"/>
      <c r="K3" s="103"/>
    </row>
    <row r="4" ht="20.35" customHeight="1">
      <c r="A4" s="92"/>
      <c r="B4" s="104"/>
      <c r="C4" s="47"/>
      <c r="D4" s="47"/>
      <c r="E4" s="47"/>
      <c r="F4" t="s" s="105">
        <v>89</v>
      </c>
      <c r="G4" s="106">
        <v>4</v>
      </c>
      <c r="H4" s="107"/>
      <c r="I4" s="106">
        <v>180</v>
      </c>
      <c r="J4" s="107"/>
      <c r="K4" s="107"/>
    </row>
    <row r="5" ht="20.35" customHeight="1">
      <c r="A5" s="108"/>
      <c r="B5" s="109"/>
      <c r="C5" s="110"/>
      <c r="D5" s="110"/>
      <c r="E5" s="107"/>
      <c r="F5" t="s" s="105">
        <v>90</v>
      </c>
      <c r="G5" s="106">
        <v>3</v>
      </c>
      <c r="H5" s="107"/>
      <c r="I5" s="106">
        <v>180</v>
      </c>
      <c r="J5" s="107"/>
      <c r="K5" s="107"/>
    </row>
    <row r="6" ht="20.35" customHeight="1">
      <c r="A6" s="108"/>
      <c r="B6" s="109"/>
      <c r="C6" s="110"/>
      <c r="D6" s="110"/>
      <c r="E6" s="107"/>
      <c r="F6" t="s" s="105">
        <v>91</v>
      </c>
      <c r="G6" s="106">
        <v>35</v>
      </c>
      <c r="H6" s="107"/>
      <c r="I6" s="106">
        <v>140</v>
      </c>
      <c r="J6" s="107"/>
      <c r="K6" s="107"/>
    </row>
    <row r="7" ht="20.35" customHeight="1">
      <c r="A7" s="108"/>
      <c r="B7" s="109"/>
      <c r="C7" s="110"/>
      <c r="D7" s="110"/>
      <c r="E7" s="107"/>
      <c r="F7" t="s" s="105">
        <v>92</v>
      </c>
      <c r="G7" s="106">
        <v>4</v>
      </c>
      <c r="H7" s="107"/>
      <c r="I7" s="106">
        <v>160</v>
      </c>
      <c r="J7" s="107"/>
      <c r="K7" s="107"/>
    </row>
    <row r="8" ht="20.35" customHeight="1">
      <c r="A8" s="108"/>
      <c r="B8" s="109"/>
      <c r="C8" s="110"/>
      <c r="D8" s="110"/>
      <c r="E8" s="107"/>
      <c r="F8" t="s" s="105">
        <v>93</v>
      </c>
      <c r="G8" s="106">
        <v>1</v>
      </c>
      <c r="H8" s="107"/>
      <c r="I8" s="106">
        <v>100</v>
      </c>
      <c r="J8" s="107"/>
      <c r="K8" s="107"/>
    </row>
    <row r="9" ht="20.35" customHeight="1">
      <c r="A9" s="108"/>
      <c r="B9" s="109"/>
      <c r="C9" s="110"/>
      <c r="D9" s="110"/>
      <c r="E9" s="107"/>
      <c r="F9" t="s" s="105">
        <v>94</v>
      </c>
      <c r="G9" s="106">
        <v>4</v>
      </c>
      <c r="H9" s="107"/>
      <c r="I9" s="106">
        <v>120</v>
      </c>
      <c r="J9" s="107"/>
      <c r="K9" s="107"/>
    </row>
    <row r="10" ht="20.35" customHeight="1">
      <c r="A10" s="108"/>
      <c r="B10" s="109"/>
      <c r="C10" s="110"/>
      <c r="D10" s="110"/>
      <c r="E10" s="107"/>
      <c r="F10" t="s" s="105">
        <v>95</v>
      </c>
      <c r="G10" s="106">
        <v>2</v>
      </c>
      <c r="H10" s="107"/>
      <c r="I10" s="106">
        <v>60</v>
      </c>
      <c r="J10" s="107"/>
      <c r="K10" s="107"/>
    </row>
    <row r="11" ht="20.35" customHeight="1">
      <c r="A11" s="108"/>
      <c r="B11" s="109"/>
      <c r="C11" s="110"/>
      <c r="D11" s="110"/>
      <c r="E11" s="107"/>
      <c r="F11" t="s" s="105">
        <v>96</v>
      </c>
      <c r="G11" s="106">
        <v>1</v>
      </c>
      <c r="H11" s="107"/>
      <c r="I11" s="106">
        <v>60</v>
      </c>
      <c r="J11" s="107"/>
      <c r="K11" s="107"/>
    </row>
    <row r="12" ht="20.35" customHeight="1">
      <c r="A12" s="108"/>
      <c r="B12" s="109"/>
      <c r="C12" s="110"/>
      <c r="D12" s="110"/>
      <c r="E12" s="107"/>
      <c r="F12" t="s" s="105">
        <v>97</v>
      </c>
      <c r="G12" s="106">
        <v>2</v>
      </c>
      <c r="H12" s="107"/>
      <c r="I12" s="106">
        <v>60</v>
      </c>
      <c r="J12" s="107"/>
      <c r="K12" s="107"/>
    </row>
    <row r="13" ht="20.35" customHeight="1">
      <c r="A13" s="108"/>
      <c r="B13" s="109"/>
      <c r="C13" s="110"/>
      <c r="D13" s="110"/>
      <c r="E13" s="107"/>
      <c r="F13" t="s" s="105">
        <v>98</v>
      </c>
      <c r="G13" s="106">
        <v>1</v>
      </c>
      <c r="H13" s="107"/>
      <c r="I13" s="106">
        <v>60</v>
      </c>
      <c r="J13" s="107"/>
      <c r="K13" s="107"/>
    </row>
    <row r="14" ht="20.35" customHeight="1">
      <c r="A14" s="108"/>
      <c r="B14" s="109"/>
      <c r="C14" s="110"/>
      <c r="D14" s="110"/>
      <c r="E14" s="107"/>
      <c r="F14" t="s" s="105">
        <v>99</v>
      </c>
      <c r="G14" s="106">
        <v>1</v>
      </c>
      <c r="H14" s="107"/>
      <c r="I14" s="106">
        <v>60</v>
      </c>
      <c r="J14" s="107"/>
      <c r="K14" s="107"/>
    </row>
    <row r="15" ht="20.35" customHeight="1">
      <c r="A15" s="108"/>
      <c r="B15" s="109"/>
      <c r="C15" s="110"/>
      <c r="D15" s="110"/>
      <c r="E15" s="107"/>
      <c r="F15" t="s" s="105">
        <v>100</v>
      </c>
      <c r="G15" s="106">
        <v>2</v>
      </c>
      <c r="H15" s="107"/>
      <c r="I15" s="106">
        <v>120</v>
      </c>
      <c r="J15" s="107"/>
      <c r="K15" s="107"/>
    </row>
    <row r="16" ht="20.35" customHeight="1">
      <c r="A16" s="108"/>
      <c r="B16" s="109"/>
      <c r="C16" s="110"/>
      <c r="D16" s="110"/>
      <c r="E16" s="107"/>
      <c r="F16" t="s" s="105">
        <v>101</v>
      </c>
      <c r="G16" s="106">
        <v>1</v>
      </c>
      <c r="H16" s="107"/>
      <c r="I16" s="106">
        <v>60</v>
      </c>
      <c r="J16" s="107"/>
      <c r="K16" s="107"/>
    </row>
    <row r="17" ht="20.35" customHeight="1">
      <c r="A17" s="108"/>
      <c r="B17" s="109"/>
      <c r="C17" s="110"/>
      <c r="D17" s="110"/>
      <c r="E17" s="107"/>
      <c r="F17" t="s" s="105">
        <v>102</v>
      </c>
      <c r="G17" s="106">
        <v>1</v>
      </c>
      <c r="H17" s="107"/>
      <c r="I17" s="106">
        <v>60</v>
      </c>
      <c r="J17" s="107"/>
      <c r="K17" s="107"/>
    </row>
    <row r="18" ht="20.35" customHeight="1">
      <c r="A18" s="108"/>
      <c r="B18" s="109"/>
      <c r="C18" s="110"/>
      <c r="D18" s="110"/>
      <c r="E18" s="107"/>
      <c r="F18" t="s" s="105">
        <v>103</v>
      </c>
      <c r="G18" s="106">
        <v>1</v>
      </c>
      <c r="H18" s="107"/>
      <c r="I18" s="106">
        <v>50</v>
      </c>
      <c r="J18" s="107"/>
      <c r="K18" s="107"/>
    </row>
    <row r="19" ht="20.35" customHeight="1">
      <c r="A19" s="108"/>
      <c r="B19" s="109"/>
      <c r="C19" s="110"/>
      <c r="D19" s="110"/>
      <c r="E19" s="107"/>
      <c r="F19" t="s" s="105">
        <v>104</v>
      </c>
      <c r="G19" s="106">
        <v>3</v>
      </c>
      <c r="H19" s="107"/>
      <c r="I19" s="106">
        <v>45</v>
      </c>
      <c r="J19" s="107"/>
      <c r="K19" s="107"/>
    </row>
    <row r="20" ht="20.35" customHeight="1">
      <c r="A20" s="108"/>
      <c r="B20" s="109"/>
      <c r="C20" s="110"/>
      <c r="D20" s="110"/>
      <c r="E20" s="107"/>
      <c r="F20" t="s" s="105">
        <v>105</v>
      </c>
      <c r="G20" s="106">
        <v>3</v>
      </c>
      <c r="H20" s="107"/>
      <c r="I20" s="106">
        <v>45</v>
      </c>
      <c r="J20" s="107"/>
      <c r="K20" s="107"/>
    </row>
    <row r="21" ht="20.35" customHeight="1">
      <c r="A21" s="108"/>
      <c r="B21" s="109"/>
      <c r="C21" s="110"/>
      <c r="D21" s="110"/>
      <c r="E21" s="107"/>
      <c r="F21" t="s" s="105">
        <v>106</v>
      </c>
      <c r="G21" s="106">
        <v>2</v>
      </c>
      <c r="H21" s="107"/>
      <c r="I21" s="106">
        <v>40</v>
      </c>
      <c r="J21" s="107"/>
      <c r="K21" s="107"/>
    </row>
    <row r="22" ht="20.35" customHeight="1">
      <c r="A22" s="108"/>
      <c r="B22" s="109"/>
      <c r="C22" s="110"/>
      <c r="D22" s="110"/>
      <c r="E22" s="107"/>
      <c r="F22" t="s" s="105">
        <v>107</v>
      </c>
      <c r="G22" s="106">
        <v>1</v>
      </c>
      <c r="H22" s="107"/>
      <c r="I22" s="106">
        <v>40</v>
      </c>
      <c r="J22" s="107"/>
      <c r="K22" s="107"/>
    </row>
    <row r="23" ht="20.35" customHeight="1">
      <c r="A23" s="108"/>
      <c r="B23" s="109"/>
      <c r="C23" s="110"/>
      <c r="D23" s="110"/>
      <c r="E23" s="107"/>
      <c r="F23" t="s" s="105">
        <v>108</v>
      </c>
      <c r="G23" s="106">
        <v>2</v>
      </c>
      <c r="H23" s="107"/>
      <c r="I23" s="106">
        <v>40</v>
      </c>
      <c r="J23" s="107"/>
      <c r="K23" s="107"/>
    </row>
    <row r="24" ht="20.35" customHeight="1">
      <c r="A24" s="108"/>
      <c r="B24" s="109"/>
      <c r="C24" s="110"/>
      <c r="D24" s="110"/>
      <c r="E24" s="107"/>
      <c r="F24" t="s" s="105">
        <v>109</v>
      </c>
      <c r="G24" s="106">
        <v>3</v>
      </c>
      <c r="H24" s="107"/>
      <c r="I24" s="106">
        <v>90</v>
      </c>
      <c r="J24" s="107"/>
      <c r="K24" s="107"/>
    </row>
    <row r="25" ht="20.35" customHeight="1">
      <c r="A25" s="108"/>
      <c r="B25" s="109"/>
      <c r="C25" s="110"/>
      <c r="D25" s="110"/>
      <c r="E25" s="107"/>
      <c r="F25" t="s" s="105">
        <v>110</v>
      </c>
      <c r="G25" s="106">
        <v>1</v>
      </c>
      <c r="H25" s="107"/>
      <c r="I25" s="106">
        <v>30</v>
      </c>
      <c r="J25" s="107"/>
      <c r="K25" s="107"/>
    </row>
    <row r="26" ht="20.35" customHeight="1">
      <c r="A26" s="108"/>
      <c r="B26" s="109"/>
      <c r="C26" s="110"/>
      <c r="D26" s="110"/>
      <c r="E26" s="107"/>
      <c r="F26" t="s" s="105">
        <v>111</v>
      </c>
      <c r="G26" s="106">
        <v>2</v>
      </c>
      <c r="H26" s="107"/>
      <c r="I26" s="106">
        <v>60</v>
      </c>
      <c r="J26" s="107"/>
      <c r="K26" s="107"/>
    </row>
    <row r="27" ht="20.35" customHeight="1">
      <c r="A27" s="108"/>
      <c r="B27" s="109"/>
      <c r="C27" s="110"/>
      <c r="D27" s="110"/>
      <c r="E27" s="107"/>
      <c r="F27" t="s" s="105">
        <v>112</v>
      </c>
      <c r="G27" s="106">
        <v>2</v>
      </c>
      <c r="H27" s="107"/>
      <c r="I27" s="106">
        <v>30</v>
      </c>
      <c r="J27" s="107"/>
      <c r="K27" s="107"/>
    </row>
    <row r="28" ht="20.35" customHeight="1">
      <c r="A28" s="108"/>
      <c r="B28" s="109"/>
      <c r="C28" s="110"/>
      <c r="D28" s="110"/>
      <c r="E28" s="107"/>
      <c r="F28" t="s" s="105">
        <v>113</v>
      </c>
      <c r="G28" s="106">
        <v>1</v>
      </c>
      <c r="H28" s="107"/>
      <c r="I28" s="106">
        <v>30</v>
      </c>
      <c r="J28" s="107"/>
      <c r="K28" s="107"/>
    </row>
    <row r="29" ht="20.35" customHeight="1">
      <c r="A29" s="108"/>
      <c r="B29" s="109"/>
      <c r="C29" s="110"/>
      <c r="D29" s="110"/>
      <c r="E29" s="107"/>
      <c r="F29" t="s" s="105">
        <v>114</v>
      </c>
      <c r="G29" s="106">
        <v>1</v>
      </c>
      <c r="H29" s="107"/>
      <c r="I29" s="106">
        <v>25</v>
      </c>
      <c r="J29" s="107"/>
      <c r="K29" s="107"/>
    </row>
    <row r="30" ht="20.35" customHeight="1">
      <c r="A30" s="108"/>
      <c r="B30" s="109"/>
      <c r="C30" s="110"/>
      <c r="D30" s="110"/>
      <c r="E30" s="107"/>
      <c r="F30" t="s" s="105">
        <v>115</v>
      </c>
      <c r="G30" s="106">
        <v>2</v>
      </c>
      <c r="H30" s="107"/>
      <c r="I30" s="106">
        <v>24</v>
      </c>
      <c r="J30" s="107"/>
      <c r="K30" s="107"/>
    </row>
    <row r="31" ht="20.35" customHeight="1">
      <c r="A31" s="108"/>
      <c r="B31" s="109"/>
      <c r="C31" s="110"/>
      <c r="D31" s="110"/>
      <c r="E31" s="107"/>
      <c r="F31" t="s" s="105">
        <v>116</v>
      </c>
      <c r="G31" s="106">
        <v>1</v>
      </c>
      <c r="H31" s="107"/>
      <c r="I31" s="106">
        <v>20</v>
      </c>
      <c r="J31" s="107"/>
      <c r="K31" s="107"/>
    </row>
    <row r="32" ht="20.35" customHeight="1">
      <c r="A32" s="108"/>
      <c r="B32" s="109"/>
      <c r="C32" s="110"/>
      <c r="D32" s="110"/>
      <c r="E32" s="107"/>
      <c r="F32" t="s" s="105">
        <v>117</v>
      </c>
      <c r="G32" s="106">
        <v>1</v>
      </c>
      <c r="H32" s="107"/>
      <c r="I32" s="106">
        <v>20</v>
      </c>
      <c r="J32" s="107"/>
      <c r="K32" s="107"/>
    </row>
    <row r="33" ht="20.35" customHeight="1">
      <c r="A33" s="108"/>
      <c r="B33" s="109"/>
      <c r="C33" s="110"/>
      <c r="D33" s="110"/>
      <c r="E33" s="107"/>
      <c r="F33" t="s" s="105">
        <v>118</v>
      </c>
      <c r="G33" s="106">
        <v>1</v>
      </c>
      <c r="H33" s="107"/>
      <c r="I33" s="106">
        <v>4</v>
      </c>
      <c r="J33" s="107"/>
      <c r="K33" s="107"/>
    </row>
    <row r="34" ht="20.35" customHeight="1">
      <c r="A34" t="s" s="111">
        <v>119</v>
      </c>
      <c r="B34" t="s" s="112">
        <v>120</v>
      </c>
      <c r="C34" t="s" s="113">
        <v>121</v>
      </c>
      <c r="D34" t="s" s="113">
        <v>122</v>
      </c>
      <c r="E34" t="s" s="105">
        <v>88</v>
      </c>
      <c r="F34" s="107"/>
      <c r="G34" s="107"/>
      <c r="H34" s="107"/>
      <c r="I34" s="107"/>
      <c r="J34" s="107"/>
      <c r="K34" s="107"/>
    </row>
    <row r="35" ht="20.35" customHeight="1">
      <c r="A35" s="92"/>
      <c r="B35" s="104"/>
      <c r="C35" s="47"/>
      <c r="D35" s="47"/>
      <c r="E35" s="47"/>
      <c r="F35" t="s" s="105">
        <v>108</v>
      </c>
      <c r="G35" s="106">
        <v>1</v>
      </c>
      <c r="H35" s="106">
        <v>20</v>
      </c>
      <c r="I35" s="106" cm="1">
        <f t="array" ref="I35">G35*H35</f>
        <v>20</v>
      </c>
      <c r="J35" s="107"/>
      <c r="K35" s="107"/>
    </row>
    <row r="36" ht="20.35" customHeight="1">
      <c r="A36" s="92"/>
      <c r="B36" s="104"/>
      <c r="C36" s="47"/>
      <c r="D36" s="47"/>
      <c r="E36" s="47"/>
      <c r="F36" t="s" s="105">
        <v>37</v>
      </c>
      <c r="G36" s="106">
        <v>1</v>
      </c>
      <c r="H36" s="106">
        <v>60</v>
      </c>
      <c r="I36" s="106" cm="1">
        <f t="array" ref="I36">G36*H36</f>
        <v>60</v>
      </c>
      <c r="J36" s="107"/>
      <c r="K36" s="107"/>
    </row>
    <row r="37" ht="20.35" customHeight="1">
      <c r="A37" s="92"/>
      <c r="B37" s="104"/>
      <c r="C37" s="47"/>
      <c r="D37" s="47"/>
      <c r="E37" s="47"/>
      <c r="F37" t="s" s="105">
        <v>100</v>
      </c>
      <c r="G37" s="106">
        <v>5</v>
      </c>
      <c r="H37" s="106">
        <v>60</v>
      </c>
      <c r="I37" s="106" cm="1">
        <f t="array" ref="I37">G37*H37</f>
        <v>300</v>
      </c>
      <c r="J37" s="107"/>
      <c r="K37" s="107"/>
    </row>
    <row r="38" ht="20.35" customHeight="1">
      <c r="A38" s="92"/>
      <c r="B38" s="104"/>
      <c r="C38" s="47"/>
      <c r="D38" s="47"/>
      <c r="E38" s="47"/>
      <c r="F38" t="s" s="105">
        <v>101</v>
      </c>
      <c r="G38" s="106">
        <v>2</v>
      </c>
      <c r="H38" s="106">
        <v>60</v>
      </c>
      <c r="I38" s="106" cm="1">
        <f t="array" ref="I38">G38*H38</f>
        <v>120</v>
      </c>
      <c r="J38" s="107"/>
      <c r="K38" s="107"/>
    </row>
    <row r="39" ht="20.35" customHeight="1">
      <c r="A39" s="92"/>
      <c r="B39" s="104"/>
      <c r="C39" s="47"/>
      <c r="D39" s="47"/>
      <c r="E39" s="47"/>
      <c r="F39" t="s" s="105">
        <v>102</v>
      </c>
      <c r="G39" s="106">
        <v>5</v>
      </c>
      <c r="H39" s="106">
        <v>60</v>
      </c>
      <c r="I39" s="106" cm="1">
        <f t="array" ref="I39">G39*H39</f>
        <v>300</v>
      </c>
      <c r="J39" s="107"/>
      <c r="K39" s="107"/>
    </row>
    <row r="40" ht="20.35" customHeight="1">
      <c r="A40" s="92"/>
      <c r="B40" s="104"/>
      <c r="C40" s="47"/>
      <c r="D40" s="47"/>
      <c r="E40" s="47"/>
      <c r="F40" t="s" s="105">
        <v>99</v>
      </c>
      <c r="G40" s="106">
        <v>2</v>
      </c>
      <c r="H40" s="106">
        <v>60</v>
      </c>
      <c r="I40" s="106" cm="1">
        <f t="array" ref="I40">G40*H40</f>
        <v>120</v>
      </c>
      <c r="J40" s="107"/>
      <c r="K40" s="107"/>
    </row>
    <row r="41" ht="20.35" customHeight="1">
      <c r="A41" s="92"/>
      <c r="B41" s="104"/>
      <c r="C41" s="47"/>
      <c r="D41" s="47"/>
      <c r="E41" s="47"/>
      <c r="F41" t="s" s="105">
        <v>123</v>
      </c>
      <c r="G41" s="106">
        <v>3</v>
      </c>
      <c r="H41" s="106">
        <v>40</v>
      </c>
      <c r="I41" s="106" cm="1">
        <f t="array" ref="I41">G41*H41</f>
        <v>120</v>
      </c>
      <c r="J41" s="107"/>
      <c r="K41" s="107"/>
    </row>
    <row r="42" ht="20.35" customHeight="1">
      <c r="A42" s="92"/>
      <c r="B42" s="104"/>
      <c r="C42" s="47"/>
      <c r="D42" s="47"/>
      <c r="E42" s="47"/>
      <c r="F42" t="s" s="105">
        <v>89</v>
      </c>
      <c r="G42" s="106">
        <v>3</v>
      </c>
      <c r="H42" s="106">
        <v>45</v>
      </c>
      <c r="I42" s="106" cm="1">
        <f t="array" ref="I42">G42*H42</f>
        <v>135</v>
      </c>
      <c r="J42" s="107"/>
      <c r="K42" s="107"/>
    </row>
    <row r="43" ht="20.35" customHeight="1">
      <c r="A43" s="92"/>
      <c r="B43" s="104"/>
      <c r="C43" s="47"/>
      <c r="D43" s="47"/>
      <c r="E43" s="47"/>
      <c r="F43" t="s" s="105">
        <v>113</v>
      </c>
      <c r="G43" s="106">
        <v>4</v>
      </c>
      <c r="H43" s="106">
        <v>30</v>
      </c>
      <c r="I43" s="106" cm="1">
        <f t="array" ref="I43">G43*H43</f>
        <v>120</v>
      </c>
      <c r="J43" s="107"/>
      <c r="K43" s="107"/>
    </row>
    <row r="44" ht="20.35" customHeight="1">
      <c r="A44" s="92"/>
      <c r="B44" s="104"/>
      <c r="C44" s="47"/>
      <c r="D44" s="47"/>
      <c r="E44" s="47"/>
      <c r="F44" t="s" s="105">
        <v>97</v>
      </c>
      <c r="G44" s="106">
        <v>1</v>
      </c>
      <c r="H44" s="106">
        <v>30</v>
      </c>
      <c r="I44" s="106" cm="1">
        <f t="array" ref="I44">G44*H44</f>
        <v>30</v>
      </c>
      <c r="J44" s="107"/>
      <c r="K44" s="107"/>
    </row>
    <row r="45" ht="20.35" customHeight="1">
      <c r="A45" s="92"/>
      <c r="B45" s="104"/>
      <c r="C45" s="47"/>
      <c r="D45" s="47"/>
      <c r="E45" s="47"/>
      <c r="F45" t="s" s="105">
        <v>124</v>
      </c>
      <c r="G45" s="106">
        <v>2</v>
      </c>
      <c r="H45" s="106">
        <v>60</v>
      </c>
      <c r="I45" s="106" cm="1">
        <f t="array" ref="I45">G45*H45</f>
        <v>120</v>
      </c>
      <c r="J45" s="107"/>
      <c r="K45" s="107"/>
    </row>
    <row r="46" ht="20.35" customHeight="1">
      <c r="A46" s="92"/>
      <c r="B46" s="104"/>
      <c r="C46" s="47"/>
      <c r="D46" s="47"/>
      <c r="E46" s="47"/>
      <c r="F46" t="s" s="105">
        <v>40</v>
      </c>
      <c r="G46" s="106">
        <v>1</v>
      </c>
      <c r="H46" s="106">
        <v>30</v>
      </c>
      <c r="I46" s="106" cm="1">
        <f t="array" ref="I46">G46*H46</f>
        <v>30</v>
      </c>
      <c r="J46" s="107"/>
      <c r="K46" s="107"/>
    </row>
    <row r="47" ht="20.35" customHeight="1">
      <c r="A47" s="92"/>
      <c r="B47" s="104"/>
      <c r="C47" s="47"/>
      <c r="D47" s="47"/>
      <c r="E47" s="47"/>
      <c r="F47" t="s" s="105">
        <v>115</v>
      </c>
      <c r="G47" s="106">
        <v>3</v>
      </c>
      <c r="H47" s="106">
        <v>12</v>
      </c>
      <c r="I47" s="106" cm="1">
        <f t="array" ref="I47">G47*H47</f>
        <v>36</v>
      </c>
      <c r="J47" s="107"/>
      <c r="K47" s="107"/>
    </row>
    <row r="48" ht="20.35" customHeight="1">
      <c r="A48" s="92"/>
      <c r="B48" s="104"/>
      <c r="C48" s="47"/>
      <c r="D48" s="47"/>
      <c r="E48" s="47"/>
      <c r="F48" t="s" s="105">
        <v>112</v>
      </c>
      <c r="G48" s="106">
        <v>4</v>
      </c>
      <c r="H48" s="106">
        <v>15</v>
      </c>
      <c r="I48" s="106" cm="1">
        <f t="array" ref="I48">G48*H48</f>
        <v>60</v>
      </c>
      <c r="J48" s="107"/>
      <c r="K48" s="107"/>
    </row>
    <row r="49" ht="20.35" customHeight="1">
      <c r="A49" s="92"/>
      <c r="B49" s="104"/>
      <c r="C49" s="47"/>
      <c r="D49" s="47"/>
      <c r="E49" s="47"/>
      <c r="F49" t="s" s="105">
        <v>104</v>
      </c>
      <c r="G49" s="106">
        <v>2</v>
      </c>
      <c r="H49" s="106">
        <v>15</v>
      </c>
      <c r="I49" s="106" cm="1">
        <f t="array" ref="I49">G49*H49</f>
        <v>30</v>
      </c>
      <c r="J49" s="107"/>
      <c r="K49" s="107"/>
    </row>
    <row r="50" ht="20.35" customHeight="1">
      <c r="A50" s="92"/>
      <c r="B50" s="104"/>
      <c r="C50" s="47"/>
      <c r="D50" s="47"/>
      <c r="E50" s="47"/>
      <c r="F50" t="s" s="105">
        <v>111</v>
      </c>
      <c r="G50" s="106">
        <v>1</v>
      </c>
      <c r="H50" s="106">
        <v>30</v>
      </c>
      <c r="I50" s="106" cm="1">
        <f t="array" ref="I50">G50*H50</f>
        <v>30</v>
      </c>
      <c r="J50" s="107"/>
      <c r="K50" s="107"/>
    </row>
    <row r="51" ht="20.35" customHeight="1">
      <c r="A51" s="92"/>
      <c r="B51" s="104"/>
      <c r="C51" s="47"/>
      <c r="D51" s="47"/>
      <c r="E51" s="47"/>
      <c r="F51" t="s" s="105">
        <v>94</v>
      </c>
      <c r="G51" s="106">
        <v>6</v>
      </c>
      <c r="H51" s="106">
        <v>30</v>
      </c>
      <c r="I51" s="106" cm="1">
        <f t="array" ref="I51">G51*H51</f>
        <v>180</v>
      </c>
      <c r="J51" s="107"/>
      <c r="K51" s="107"/>
    </row>
    <row r="52" ht="20.35" customHeight="1">
      <c r="A52" s="92"/>
      <c r="B52" s="104"/>
      <c r="C52" s="47"/>
      <c r="D52" s="47"/>
      <c r="E52" s="47"/>
      <c r="F52" t="s" s="105">
        <v>110</v>
      </c>
      <c r="G52" s="106">
        <v>1</v>
      </c>
      <c r="H52" s="106">
        <v>30</v>
      </c>
      <c r="I52" s="106" cm="1">
        <f t="array" ref="I52">G52*H52</f>
        <v>30</v>
      </c>
      <c r="J52" s="107"/>
      <c r="K52" s="107"/>
    </row>
    <row r="53" ht="20.35" customHeight="1">
      <c r="A53" s="92"/>
      <c r="B53" s="104"/>
      <c r="C53" s="47"/>
      <c r="D53" s="47"/>
      <c r="E53" s="47"/>
      <c r="F53" t="s" s="105">
        <v>109</v>
      </c>
      <c r="G53" s="106">
        <v>1</v>
      </c>
      <c r="H53" s="106">
        <v>30</v>
      </c>
      <c r="I53" s="106" cm="1">
        <f t="array" ref="I53">G53*H53</f>
        <v>30</v>
      </c>
      <c r="J53" s="107"/>
      <c r="K53" s="107"/>
    </row>
    <row r="54" ht="20.35" customHeight="1">
      <c r="A54" s="92"/>
      <c r="B54" s="104"/>
      <c r="C54" s="47"/>
      <c r="D54" s="47"/>
      <c r="E54" s="47"/>
      <c r="F54" t="s" s="105">
        <v>125</v>
      </c>
      <c r="G54" s="106">
        <v>4</v>
      </c>
      <c r="H54" s="106">
        <v>30</v>
      </c>
      <c r="I54" s="106" cm="1">
        <f t="array" ref="I54">G54*H54</f>
        <v>120</v>
      </c>
      <c r="J54" s="107"/>
      <c r="K54" s="107"/>
    </row>
    <row r="55" ht="20.35" customHeight="1">
      <c r="A55" s="92"/>
      <c r="B55" s="104"/>
      <c r="C55" s="47"/>
      <c r="D55" s="47"/>
      <c r="E55" s="47"/>
      <c r="F55" t="s" s="105">
        <v>91</v>
      </c>
      <c r="G55" s="106">
        <v>27</v>
      </c>
      <c r="H55" s="106">
        <v>4</v>
      </c>
      <c r="I55" s="106" cm="1">
        <f t="array" ref="I55">G55*H55</f>
        <v>108</v>
      </c>
      <c r="J55" s="107"/>
      <c r="K55" s="107"/>
    </row>
    <row r="56" ht="20.35" customHeight="1">
      <c r="A56" s="92"/>
      <c r="B56" s="104"/>
      <c r="C56" s="47"/>
      <c r="D56" s="47"/>
      <c r="E56" s="47"/>
      <c r="F56" t="s" s="105">
        <v>96</v>
      </c>
      <c r="G56" s="106">
        <v>9</v>
      </c>
      <c r="H56" s="106">
        <v>30</v>
      </c>
      <c r="I56" s="106" cm="1">
        <f t="array" ref="I56">G56*H56</f>
        <v>270</v>
      </c>
      <c r="J56" s="107"/>
      <c r="K56" s="107"/>
    </row>
    <row r="57" ht="20.35" customHeight="1">
      <c r="A57" s="92"/>
      <c r="B57" s="104"/>
      <c r="C57" s="47"/>
      <c r="D57" s="47"/>
      <c r="E57" s="47"/>
      <c r="F57" t="s" s="105">
        <v>92</v>
      </c>
      <c r="G57" s="106">
        <v>3</v>
      </c>
      <c r="H57" s="106">
        <v>40</v>
      </c>
      <c r="I57" s="106" cm="1">
        <f t="array" ref="I57">G57*H57</f>
        <v>120</v>
      </c>
      <c r="J57" s="107"/>
      <c r="K57" s="107"/>
    </row>
    <row r="58" ht="20.35" customHeight="1">
      <c r="A58" s="92"/>
      <c r="B58" s="104"/>
      <c r="C58" s="47"/>
      <c r="D58" s="47"/>
      <c r="E58" s="47"/>
      <c r="F58" t="s" s="105">
        <v>117</v>
      </c>
      <c r="G58" s="106">
        <v>2</v>
      </c>
      <c r="H58" s="106">
        <v>20</v>
      </c>
      <c r="I58" s="106" cm="1">
        <f t="array" ref="I58">G58*H58</f>
        <v>40</v>
      </c>
      <c r="J58" s="107"/>
      <c r="K58" s="107"/>
    </row>
    <row r="59" ht="20.35" customHeight="1">
      <c r="A59" s="92"/>
      <c r="B59" s="104"/>
      <c r="C59" s="47"/>
      <c r="D59" s="47"/>
      <c r="E59" s="47"/>
      <c r="F59" s="107"/>
      <c r="G59" s="107"/>
      <c r="H59" s="107"/>
      <c r="I59" s="106" cm="1">
        <f t="array" ref="I59">G59*H59</f>
        <v>0</v>
      </c>
      <c r="J59" s="107"/>
      <c r="K59" s="107"/>
    </row>
    <row r="60" ht="20.35" customHeight="1">
      <c r="A60" t="s" s="111">
        <v>126</v>
      </c>
      <c r="B60" t="s" s="112">
        <v>127</v>
      </c>
      <c r="C60" t="s" s="113">
        <v>128</v>
      </c>
      <c r="D60" t="s" s="113">
        <v>129</v>
      </c>
      <c r="E60" t="s" s="105">
        <v>88</v>
      </c>
      <c r="F60" t="s" s="105">
        <v>108</v>
      </c>
      <c r="G60" s="106">
        <v>6</v>
      </c>
      <c r="H60" s="106">
        <v>20</v>
      </c>
      <c r="I60" s="106" cm="1">
        <f t="array" ref="I60">G60*H60</f>
        <v>120</v>
      </c>
      <c r="J60" s="107"/>
      <c r="K60" s="107"/>
    </row>
    <row r="61" ht="20.35" customHeight="1">
      <c r="A61" s="108"/>
      <c r="B61" s="109"/>
      <c r="C61" s="110"/>
      <c r="D61" s="110"/>
      <c r="E61" s="107"/>
      <c r="F61" t="s" s="105">
        <v>130</v>
      </c>
      <c r="G61" s="106">
        <v>4</v>
      </c>
      <c r="H61" s="106">
        <v>10</v>
      </c>
      <c r="I61" s="106" cm="1">
        <f t="array" ref="I61">G61*H61</f>
        <v>40</v>
      </c>
      <c r="J61" s="107"/>
      <c r="K61" s="107"/>
    </row>
    <row r="62" ht="20.35" customHeight="1">
      <c r="A62" s="108"/>
      <c r="B62" s="109"/>
      <c r="C62" s="110"/>
      <c r="D62" s="110"/>
      <c r="E62" s="107"/>
      <c r="F62" t="s" s="105">
        <v>111</v>
      </c>
      <c r="G62" s="106">
        <v>5</v>
      </c>
      <c r="H62" s="106">
        <v>20</v>
      </c>
      <c r="I62" s="106" cm="1">
        <f t="array" ref="I62">G62*H62</f>
        <v>100</v>
      </c>
      <c r="J62" s="107"/>
      <c r="K62" s="107"/>
    </row>
    <row r="63" ht="20.35" customHeight="1">
      <c r="A63" s="108"/>
      <c r="B63" s="109"/>
      <c r="C63" s="110"/>
      <c r="D63" s="110"/>
      <c r="E63" s="107"/>
      <c r="F63" t="s" s="105">
        <v>105</v>
      </c>
      <c r="G63" s="106">
        <v>9</v>
      </c>
      <c r="H63" s="106">
        <v>15</v>
      </c>
      <c r="I63" s="106" cm="1">
        <f t="array" ref="I63">G63*H63</f>
        <v>135</v>
      </c>
      <c r="J63" s="107"/>
      <c r="K63" s="107"/>
    </row>
    <row r="64" ht="20.35" customHeight="1">
      <c r="A64" s="108"/>
      <c r="B64" s="109"/>
      <c r="C64" s="110"/>
      <c r="D64" s="110"/>
      <c r="E64" s="107"/>
      <c r="F64" t="s" s="105">
        <v>37</v>
      </c>
      <c r="G64" s="106">
        <v>1</v>
      </c>
      <c r="H64" s="106">
        <v>60</v>
      </c>
      <c r="I64" s="106" cm="1">
        <f t="array" ref="I64">G64*H64</f>
        <v>60</v>
      </c>
      <c r="J64" s="107"/>
      <c r="K64" s="107"/>
    </row>
    <row r="65" ht="20.35" customHeight="1">
      <c r="A65" s="108"/>
      <c r="B65" s="109"/>
      <c r="C65" s="110"/>
      <c r="D65" s="110"/>
      <c r="E65" s="107"/>
      <c r="F65" t="s" s="105">
        <v>131</v>
      </c>
      <c r="G65" s="106">
        <v>3</v>
      </c>
      <c r="H65" s="106">
        <v>40</v>
      </c>
      <c r="I65" s="106" cm="1">
        <f t="array" ref="I65">G65*H65</f>
        <v>120</v>
      </c>
      <c r="J65" s="107"/>
      <c r="K65" s="107"/>
    </row>
    <row r="66" ht="20.35" customHeight="1">
      <c r="A66" s="108"/>
      <c r="B66" s="109"/>
      <c r="C66" s="110"/>
      <c r="D66" s="110"/>
      <c r="E66" s="107"/>
      <c r="F66" t="s" s="105">
        <v>132</v>
      </c>
      <c r="G66" s="106">
        <v>3</v>
      </c>
      <c r="H66" s="106">
        <v>40</v>
      </c>
      <c r="I66" s="106" cm="1">
        <f t="array" ref="I66">G66*H66</f>
        <v>120</v>
      </c>
      <c r="J66" s="107"/>
      <c r="K66" s="107"/>
    </row>
    <row r="67" ht="20.35" customHeight="1">
      <c r="A67" s="108"/>
      <c r="B67" s="109"/>
      <c r="C67" s="110"/>
      <c r="D67" s="110"/>
      <c r="E67" s="107"/>
      <c r="F67" t="s" s="105">
        <v>90</v>
      </c>
      <c r="G67" s="106">
        <v>1</v>
      </c>
      <c r="H67" s="106">
        <v>60</v>
      </c>
      <c r="I67" s="106" cm="1">
        <f t="array" ref="I67">G67*H67</f>
        <v>60</v>
      </c>
      <c r="J67" s="107"/>
      <c r="K67" s="107"/>
    </row>
    <row r="68" ht="20.35" customHeight="1">
      <c r="A68" s="108"/>
      <c r="B68" s="109"/>
      <c r="C68" s="110"/>
      <c r="D68" s="110"/>
      <c r="E68" s="107"/>
      <c r="F68" t="s" s="105">
        <v>102</v>
      </c>
      <c r="G68" s="106">
        <v>4</v>
      </c>
      <c r="H68" s="106">
        <v>60</v>
      </c>
      <c r="I68" s="106" cm="1">
        <f t="array" ref="I68">G68*H68</f>
        <v>240</v>
      </c>
      <c r="J68" s="107"/>
      <c r="K68" s="107"/>
    </row>
    <row r="69" ht="20.35" customHeight="1">
      <c r="A69" s="108"/>
      <c r="B69" s="109"/>
      <c r="C69" s="110"/>
      <c r="D69" s="110"/>
      <c r="E69" s="107"/>
      <c r="F69" t="s" s="105">
        <v>100</v>
      </c>
      <c r="G69" s="106">
        <v>8</v>
      </c>
      <c r="H69" s="106">
        <v>60</v>
      </c>
      <c r="I69" s="106" cm="1">
        <f t="array" ref="I69">G69*H69</f>
        <v>480</v>
      </c>
      <c r="J69" s="107"/>
      <c r="K69" s="107"/>
    </row>
    <row r="70" ht="20.35" customHeight="1">
      <c r="A70" s="108"/>
      <c r="B70" s="109"/>
      <c r="C70" s="110"/>
      <c r="D70" s="110"/>
      <c r="E70" s="107"/>
      <c r="F70" t="s" s="105">
        <v>99</v>
      </c>
      <c r="G70" s="106">
        <v>5</v>
      </c>
      <c r="H70" s="106">
        <v>55</v>
      </c>
      <c r="I70" s="106" cm="1">
        <f t="array" ref="I70">G70*H70</f>
        <v>275</v>
      </c>
      <c r="J70" s="107"/>
      <c r="K70" s="107"/>
    </row>
    <row r="71" ht="20.35" customHeight="1">
      <c r="A71" s="108"/>
      <c r="B71" s="109"/>
      <c r="C71" s="110"/>
      <c r="D71" s="110"/>
      <c r="E71" s="107"/>
      <c r="F71" t="s" s="105">
        <v>102</v>
      </c>
      <c r="G71" s="106">
        <v>4</v>
      </c>
      <c r="H71" s="106">
        <v>60</v>
      </c>
      <c r="I71" s="106" cm="1">
        <f t="array" ref="I71">G71*H71</f>
        <v>240</v>
      </c>
      <c r="J71" s="107"/>
      <c r="K71" s="107"/>
    </row>
    <row r="72" ht="20.35" customHeight="1">
      <c r="A72" s="108"/>
      <c r="B72" s="109"/>
      <c r="C72" s="110"/>
      <c r="D72" s="110"/>
      <c r="E72" s="107"/>
      <c r="F72" t="s" s="105">
        <v>89</v>
      </c>
      <c r="G72" s="106">
        <v>2</v>
      </c>
      <c r="H72" s="106">
        <v>45</v>
      </c>
      <c r="I72" s="106" cm="1">
        <f t="array" ref="I72">G72*H72</f>
        <v>90</v>
      </c>
      <c r="J72" s="107"/>
      <c r="K72" s="107"/>
    </row>
    <row r="73" ht="20.35" customHeight="1">
      <c r="A73" s="108"/>
      <c r="B73" s="109"/>
      <c r="C73" s="110"/>
      <c r="D73" s="110"/>
      <c r="E73" s="107"/>
      <c r="F73" t="s" s="105">
        <v>114</v>
      </c>
      <c r="G73" s="106">
        <v>1</v>
      </c>
      <c r="H73" s="106">
        <v>25</v>
      </c>
      <c r="I73" s="106" cm="1">
        <f t="array" ref="I73">G73*H73</f>
        <v>25</v>
      </c>
      <c r="J73" s="107"/>
      <c r="K73" s="107"/>
    </row>
    <row r="74" ht="20.35" customHeight="1">
      <c r="A74" s="108"/>
      <c r="B74" s="109"/>
      <c r="C74" s="110"/>
      <c r="D74" s="110"/>
      <c r="E74" s="107"/>
      <c r="F74" t="s" s="105">
        <v>133</v>
      </c>
      <c r="G74" s="106">
        <v>1</v>
      </c>
      <c r="H74" s="106">
        <v>100</v>
      </c>
      <c r="I74" s="106" cm="1">
        <f t="array" ref="I74">G74*H74</f>
        <v>100</v>
      </c>
      <c r="J74" s="107"/>
      <c r="K74" s="107"/>
    </row>
    <row r="75" ht="20.35" customHeight="1">
      <c r="A75" s="108"/>
      <c r="B75" s="109"/>
      <c r="C75" s="110"/>
      <c r="D75" s="110"/>
      <c r="E75" s="107"/>
      <c r="F75" t="s" s="105">
        <v>113</v>
      </c>
      <c r="G75" s="106">
        <v>12</v>
      </c>
      <c r="H75" s="106">
        <v>30</v>
      </c>
      <c r="I75" s="106" cm="1">
        <f t="array" ref="I75">G75*H75</f>
        <v>360</v>
      </c>
      <c r="J75" s="107"/>
      <c r="K75" s="107"/>
    </row>
    <row r="76" ht="20.35" customHeight="1">
      <c r="A76" s="108"/>
      <c r="B76" s="109"/>
      <c r="C76" s="110"/>
      <c r="D76" s="110"/>
      <c r="E76" s="107"/>
      <c r="F76" t="s" s="105">
        <v>124</v>
      </c>
      <c r="G76" s="106">
        <v>3</v>
      </c>
      <c r="H76" s="106">
        <v>30</v>
      </c>
      <c r="I76" s="106" cm="1">
        <f t="array" ref="I76">G76*H76</f>
        <v>90</v>
      </c>
      <c r="J76" s="107"/>
      <c r="K76" s="107"/>
    </row>
    <row r="77" ht="20.35" customHeight="1">
      <c r="A77" s="108"/>
      <c r="B77" s="109"/>
      <c r="C77" s="110"/>
      <c r="D77" s="110"/>
      <c r="E77" s="107"/>
      <c r="F77" t="s" s="105">
        <v>134</v>
      </c>
      <c r="G77" s="106">
        <v>2</v>
      </c>
      <c r="H77" s="106">
        <v>30</v>
      </c>
      <c r="I77" s="106" cm="1">
        <f t="array" ref="I77">G77*H77</f>
        <v>60</v>
      </c>
      <c r="J77" s="107"/>
      <c r="K77" s="107"/>
    </row>
    <row r="78" ht="20.35" customHeight="1">
      <c r="A78" s="108"/>
      <c r="B78" s="109"/>
      <c r="C78" s="110"/>
      <c r="D78" s="110"/>
      <c r="E78" s="107"/>
      <c r="F78" t="s" s="105">
        <v>115</v>
      </c>
      <c r="G78" s="106">
        <v>5</v>
      </c>
      <c r="H78" s="106">
        <v>12</v>
      </c>
      <c r="I78" s="106" cm="1">
        <f t="array" ref="I78">G78*H78</f>
        <v>60</v>
      </c>
      <c r="J78" s="107"/>
      <c r="K78" s="107"/>
    </row>
    <row r="79" ht="20.35" customHeight="1">
      <c r="A79" s="108"/>
      <c r="B79" s="109"/>
      <c r="C79" s="110"/>
      <c r="D79" s="110"/>
      <c r="E79" s="107"/>
      <c r="F79" t="s" s="105">
        <v>112</v>
      </c>
      <c r="G79" s="106">
        <v>7</v>
      </c>
      <c r="H79" s="106">
        <v>15</v>
      </c>
      <c r="I79" s="106" cm="1">
        <f t="array" ref="I79">G79*H79</f>
        <v>105</v>
      </c>
      <c r="J79" s="107"/>
      <c r="K79" s="107"/>
    </row>
    <row r="80" ht="20.35" customHeight="1">
      <c r="A80" s="108"/>
      <c r="B80" s="109"/>
      <c r="C80" s="110"/>
      <c r="D80" s="110"/>
      <c r="E80" s="107"/>
      <c r="F80" t="s" s="105">
        <v>104</v>
      </c>
      <c r="G80" s="106">
        <v>5</v>
      </c>
      <c r="H80" s="106">
        <v>15</v>
      </c>
      <c r="I80" s="106" cm="1">
        <f t="array" ref="I80">G80*H80</f>
        <v>75</v>
      </c>
      <c r="J80" s="107"/>
      <c r="K80" s="107"/>
    </row>
    <row r="81" ht="20.35" customHeight="1">
      <c r="A81" s="108"/>
      <c r="B81" s="109"/>
      <c r="C81" s="110"/>
      <c r="D81" s="110"/>
      <c r="E81" s="107"/>
      <c r="F81" t="s" s="105">
        <v>111</v>
      </c>
      <c r="G81" s="106">
        <v>11</v>
      </c>
      <c r="H81" s="106">
        <v>30</v>
      </c>
      <c r="I81" s="106" cm="1">
        <f t="array" ref="I81">G81*H81</f>
        <v>330</v>
      </c>
      <c r="J81" s="107"/>
      <c r="K81" s="107"/>
    </row>
    <row r="82" ht="20.35" customHeight="1">
      <c r="A82" s="108"/>
      <c r="B82" s="109"/>
      <c r="C82" s="110"/>
      <c r="D82" s="110"/>
      <c r="E82" s="107"/>
      <c r="F82" t="s" s="105">
        <v>109</v>
      </c>
      <c r="G82" s="106">
        <v>8</v>
      </c>
      <c r="H82" s="106">
        <v>30</v>
      </c>
      <c r="I82" s="106" cm="1">
        <f t="array" ref="I82">G82*H82</f>
        <v>240</v>
      </c>
      <c r="J82" s="107"/>
      <c r="K82" s="107"/>
    </row>
    <row r="83" ht="20.35" customHeight="1">
      <c r="A83" s="108"/>
      <c r="B83" s="109"/>
      <c r="C83" s="110"/>
      <c r="D83" s="110"/>
      <c r="E83" s="107"/>
      <c r="F83" t="s" s="105">
        <v>110</v>
      </c>
      <c r="G83" s="106">
        <v>2</v>
      </c>
      <c r="H83" s="106">
        <v>30</v>
      </c>
      <c r="I83" s="106" cm="1">
        <f t="array" ref="I83">G83*H83</f>
        <v>60</v>
      </c>
      <c r="J83" s="107"/>
      <c r="K83" s="107"/>
    </row>
    <row r="84" ht="20.35" customHeight="1">
      <c r="A84" s="108"/>
      <c r="B84" s="109"/>
      <c r="C84" s="110"/>
      <c r="D84" s="110"/>
      <c r="E84" s="107"/>
      <c r="F84" t="s" s="105">
        <v>94</v>
      </c>
      <c r="G84" s="106">
        <v>17</v>
      </c>
      <c r="H84" s="106">
        <v>30</v>
      </c>
      <c r="I84" s="106" cm="1">
        <f t="array" ref="I84">G84*H84</f>
        <v>510</v>
      </c>
      <c r="J84" s="107"/>
      <c r="K84" s="107"/>
    </row>
    <row r="85" ht="20.35" customHeight="1">
      <c r="A85" s="108"/>
      <c r="B85" s="109"/>
      <c r="C85" s="110"/>
      <c r="D85" s="110"/>
      <c r="E85" s="107"/>
      <c r="F85" t="s" s="105">
        <v>135</v>
      </c>
      <c r="G85" s="106">
        <v>1</v>
      </c>
      <c r="H85" s="106">
        <v>20</v>
      </c>
      <c r="I85" s="106" cm="1">
        <f t="array" ref="I85">G85*H85</f>
        <v>20</v>
      </c>
      <c r="J85" s="107"/>
      <c r="K85" s="107"/>
    </row>
    <row r="86" ht="20.35" customHeight="1">
      <c r="A86" s="108"/>
      <c r="B86" s="109"/>
      <c r="C86" s="110"/>
      <c r="D86" s="110"/>
      <c r="E86" s="107"/>
      <c r="F86" t="s" s="105">
        <v>91</v>
      </c>
      <c r="G86" s="106">
        <v>53</v>
      </c>
      <c r="H86" s="106">
        <v>4</v>
      </c>
      <c r="I86" s="106" cm="1">
        <f t="array" ref="I86">G86*H86</f>
        <v>212</v>
      </c>
      <c r="J86" s="107"/>
      <c r="K86" s="107"/>
    </row>
    <row r="87" ht="20.35" customHeight="1">
      <c r="A87" s="108"/>
      <c r="B87" s="109"/>
      <c r="C87" s="110"/>
      <c r="D87" s="110"/>
      <c r="E87" s="107"/>
      <c r="F87" t="s" s="105">
        <v>118</v>
      </c>
      <c r="G87" s="106">
        <v>2</v>
      </c>
      <c r="H87" s="106">
        <v>4</v>
      </c>
      <c r="I87" s="106" cm="1">
        <f t="array" ref="I87">G87*H87</f>
        <v>8</v>
      </c>
      <c r="J87" s="107"/>
      <c r="K87" s="107"/>
    </row>
    <row r="88" ht="20.35" customHeight="1">
      <c r="A88" s="108"/>
      <c r="B88" s="109"/>
      <c r="C88" s="110"/>
      <c r="D88" s="110"/>
      <c r="E88" s="107"/>
      <c r="F88" t="s" s="105">
        <v>96</v>
      </c>
      <c r="G88" s="106">
        <v>6</v>
      </c>
      <c r="H88" s="106">
        <v>20</v>
      </c>
      <c r="I88" s="106" cm="1">
        <f t="array" ref="I88">G88*H88</f>
        <v>120</v>
      </c>
      <c r="J88" s="107"/>
      <c r="K88" s="107"/>
    </row>
    <row r="89" ht="20.35" customHeight="1">
      <c r="A89" s="108"/>
      <c r="B89" s="109"/>
      <c r="C89" s="110"/>
      <c r="D89" s="110"/>
      <c r="E89" s="107"/>
      <c r="F89" t="s" s="105">
        <v>92</v>
      </c>
      <c r="G89" s="106">
        <v>6</v>
      </c>
      <c r="H89" s="106">
        <v>40</v>
      </c>
      <c r="I89" s="106" cm="1">
        <f t="array" ref="I89">G89*H89</f>
        <v>240</v>
      </c>
      <c r="J89" s="107"/>
      <c r="K89" s="107"/>
    </row>
    <row r="90" ht="20.35" customHeight="1">
      <c r="A90" s="108"/>
      <c r="B90" s="109"/>
      <c r="C90" s="110"/>
      <c r="D90" s="110"/>
      <c r="E90" s="107"/>
      <c r="F90" t="s" s="105">
        <v>117</v>
      </c>
      <c r="G90" s="106">
        <v>5</v>
      </c>
      <c r="H90" s="106">
        <v>20</v>
      </c>
      <c r="I90" s="106" cm="1">
        <f t="array" ref="I90">G90*H90</f>
        <v>100</v>
      </c>
      <c r="J90" s="107"/>
      <c r="K90" s="107"/>
    </row>
    <row r="91" ht="20.35" customHeight="1">
      <c r="A91" s="108"/>
      <c r="B91" s="109"/>
      <c r="C91" s="110"/>
      <c r="D91" s="110"/>
      <c r="E91" s="107"/>
      <c r="F91" t="s" s="105">
        <v>136</v>
      </c>
      <c r="G91" s="106">
        <v>6</v>
      </c>
      <c r="H91" s="106">
        <v>25</v>
      </c>
      <c r="I91" s="106" cm="1">
        <f t="array" ref="I91">G91*H91</f>
        <v>150</v>
      </c>
      <c r="J91" s="107"/>
      <c r="K91" s="107"/>
    </row>
    <row r="92" ht="20.35" customHeight="1">
      <c r="A92" s="108"/>
      <c r="B92" s="109"/>
      <c r="C92" s="110"/>
      <c r="D92" s="110"/>
      <c r="E92" s="107"/>
      <c r="F92" s="107"/>
      <c r="G92" s="107"/>
      <c r="H92" s="107"/>
      <c r="I92" s="107"/>
      <c r="J92" s="107"/>
      <c r="K92" s="107"/>
    </row>
    <row r="93" ht="20.35" customHeight="1">
      <c r="A93" t="s" s="111">
        <v>137</v>
      </c>
      <c r="B93" t="s" s="112">
        <v>138</v>
      </c>
      <c r="C93" t="s" s="113">
        <v>139</v>
      </c>
      <c r="D93" t="s" s="113">
        <v>140</v>
      </c>
      <c r="E93" t="s" s="105">
        <v>88</v>
      </c>
      <c r="F93" s="107"/>
      <c r="G93" s="107"/>
      <c r="H93" s="107"/>
      <c r="I93" s="107"/>
      <c r="J93" s="107"/>
      <c r="K93" s="107"/>
    </row>
    <row r="94" ht="20.35" customHeight="1">
      <c r="A94" s="108"/>
      <c r="B94" s="109"/>
      <c r="C94" s="110"/>
      <c r="D94" s="110"/>
      <c r="E94" s="107"/>
      <c r="F94" t="s" s="105">
        <v>108</v>
      </c>
      <c r="G94" s="106">
        <v>1</v>
      </c>
      <c r="H94" s="106">
        <v>20</v>
      </c>
      <c r="I94" s="107"/>
      <c r="J94" s="107"/>
      <c r="K94" s="107"/>
    </row>
    <row r="95" ht="20.35" customHeight="1">
      <c r="A95" s="108"/>
      <c r="B95" s="109"/>
      <c r="C95" s="110"/>
      <c r="D95" s="110"/>
      <c r="E95" s="107"/>
      <c r="F95" t="s" s="105">
        <v>130</v>
      </c>
      <c r="G95" s="106">
        <v>1</v>
      </c>
      <c r="H95" s="106">
        <v>10</v>
      </c>
      <c r="I95" s="107"/>
      <c r="J95" s="107"/>
      <c r="K95" s="107"/>
    </row>
    <row r="96" ht="20.35" customHeight="1">
      <c r="A96" s="108"/>
      <c r="B96" s="109"/>
      <c r="C96" s="110"/>
      <c r="D96" s="110"/>
      <c r="E96" s="107"/>
      <c r="F96" t="s" s="105">
        <v>111</v>
      </c>
      <c r="G96" s="106">
        <v>5</v>
      </c>
      <c r="H96" s="106">
        <v>20</v>
      </c>
      <c r="I96" s="107"/>
      <c r="J96" s="107"/>
      <c r="K96" s="107"/>
    </row>
    <row r="97" ht="20.35" customHeight="1">
      <c r="A97" s="108"/>
      <c r="B97" s="109"/>
      <c r="C97" s="110"/>
      <c r="D97" s="110"/>
      <c r="E97" s="107"/>
      <c r="F97" t="s" s="105">
        <v>105</v>
      </c>
      <c r="G97" s="106">
        <v>7</v>
      </c>
      <c r="H97" s="106">
        <v>15</v>
      </c>
      <c r="I97" s="107"/>
      <c r="J97" s="107"/>
      <c r="K97" s="107"/>
    </row>
    <row r="98" ht="20.35" customHeight="1">
      <c r="A98" s="108"/>
      <c r="B98" s="109"/>
      <c r="C98" s="110"/>
      <c r="D98" s="110"/>
      <c r="E98" s="107"/>
      <c r="F98" t="s" s="105">
        <v>37</v>
      </c>
      <c r="G98" s="106">
        <v>1</v>
      </c>
      <c r="H98" s="106">
        <v>60</v>
      </c>
      <c r="I98" s="107"/>
      <c r="J98" s="107"/>
      <c r="K98" s="107"/>
    </row>
    <row r="99" ht="20.35" customHeight="1">
      <c r="A99" s="108"/>
      <c r="B99" s="109"/>
      <c r="C99" s="110"/>
      <c r="D99" s="110"/>
      <c r="E99" s="107"/>
      <c r="F99" t="s" s="105">
        <v>131</v>
      </c>
      <c r="G99" s="106">
        <v>3</v>
      </c>
      <c r="H99" s="106">
        <v>40</v>
      </c>
      <c r="I99" s="107"/>
      <c r="J99" s="107"/>
      <c r="K99" s="107"/>
    </row>
    <row r="100" ht="20.35" customHeight="1">
      <c r="A100" s="108"/>
      <c r="B100" s="109"/>
      <c r="C100" s="110"/>
      <c r="D100" s="110"/>
      <c r="E100" s="107"/>
      <c r="F100" t="s" s="105">
        <v>100</v>
      </c>
      <c r="G100" s="106">
        <v>5</v>
      </c>
      <c r="H100" s="106">
        <v>60</v>
      </c>
      <c r="I100" s="107"/>
      <c r="J100" s="107"/>
      <c r="K100" s="107"/>
    </row>
    <row r="101" ht="20.35" customHeight="1">
      <c r="A101" s="108"/>
      <c r="B101" s="109"/>
      <c r="C101" s="110"/>
      <c r="D101" s="110"/>
      <c r="E101" s="107"/>
      <c r="F101" t="s" s="105">
        <v>90</v>
      </c>
      <c r="G101" s="106">
        <v>2</v>
      </c>
      <c r="H101" s="106">
        <v>60</v>
      </c>
      <c r="I101" s="107"/>
      <c r="J101" s="107"/>
      <c r="K101" s="107"/>
    </row>
    <row r="102" ht="20.35" customHeight="1">
      <c r="A102" s="108"/>
      <c r="B102" s="109"/>
      <c r="C102" s="110"/>
      <c r="D102" s="110"/>
      <c r="E102" s="107"/>
      <c r="F102" t="s" s="105">
        <v>99</v>
      </c>
      <c r="G102" s="106">
        <v>12</v>
      </c>
      <c r="H102" s="106">
        <v>55</v>
      </c>
      <c r="I102" s="107"/>
      <c r="J102" s="107"/>
      <c r="K102" s="107"/>
    </row>
    <row r="103" ht="20.35" customHeight="1">
      <c r="A103" s="108"/>
      <c r="B103" s="109"/>
      <c r="C103" s="110"/>
      <c r="D103" s="110"/>
      <c r="E103" s="107"/>
      <c r="F103" t="s" s="105">
        <v>102</v>
      </c>
      <c r="G103" s="106">
        <v>6</v>
      </c>
      <c r="H103" s="106">
        <v>60</v>
      </c>
      <c r="I103" s="107"/>
      <c r="J103" s="107"/>
      <c r="K103" s="107"/>
    </row>
    <row r="104" ht="20.35" customHeight="1">
      <c r="A104" s="108"/>
      <c r="B104" s="109"/>
      <c r="C104" s="110"/>
      <c r="D104" s="110"/>
      <c r="E104" s="107"/>
      <c r="F104" t="s" s="105">
        <v>101</v>
      </c>
      <c r="G104" s="106">
        <v>1</v>
      </c>
      <c r="H104" s="106">
        <v>60</v>
      </c>
      <c r="I104" s="107"/>
      <c r="J104" s="107"/>
      <c r="K104" s="107"/>
    </row>
    <row r="105" ht="20.35" customHeight="1">
      <c r="A105" s="108"/>
      <c r="B105" s="109"/>
      <c r="C105" s="110"/>
      <c r="D105" s="110"/>
      <c r="E105" s="107"/>
      <c r="F105" t="s" s="105">
        <v>98</v>
      </c>
      <c r="G105" s="106">
        <v>2</v>
      </c>
      <c r="H105" s="106">
        <v>60</v>
      </c>
      <c r="I105" s="107"/>
      <c r="J105" s="107"/>
      <c r="K105" s="107"/>
    </row>
    <row r="106" ht="20.35" customHeight="1">
      <c r="A106" s="108"/>
      <c r="B106" s="109"/>
      <c r="C106" s="110"/>
      <c r="D106" s="110"/>
      <c r="E106" s="107"/>
      <c r="F106" t="s" s="105">
        <v>123</v>
      </c>
      <c r="G106" s="106">
        <v>1</v>
      </c>
      <c r="H106" s="106">
        <v>40</v>
      </c>
      <c r="I106" s="107"/>
      <c r="J106" s="107"/>
      <c r="K106" s="107"/>
    </row>
    <row r="107" ht="20.35" customHeight="1">
      <c r="A107" s="108"/>
      <c r="B107" s="109"/>
      <c r="C107" s="110"/>
      <c r="D107" s="110"/>
      <c r="E107" s="107"/>
      <c r="F107" t="s" s="105">
        <v>89</v>
      </c>
      <c r="G107" s="106">
        <v>3</v>
      </c>
      <c r="H107" s="106">
        <v>45</v>
      </c>
      <c r="I107" s="107"/>
      <c r="J107" s="107"/>
      <c r="K107" s="107"/>
    </row>
    <row r="108" ht="20.35" customHeight="1">
      <c r="A108" s="108"/>
      <c r="B108" s="109"/>
      <c r="C108" s="110"/>
      <c r="D108" s="110"/>
      <c r="E108" s="107"/>
      <c r="F108" t="s" s="105">
        <v>114</v>
      </c>
      <c r="G108" s="106">
        <v>3</v>
      </c>
      <c r="H108" s="106">
        <v>25</v>
      </c>
      <c r="I108" s="107"/>
      <c r="J108" s="107"/>
      <c r="K108" s="107"/>
    </row>
    <row r="109" ht="20.35" customHeight="1">
      <c r="A109" s="108"/>
      <c r="B109" s="109"/>
      <c r="C109" s="110"/>
      <c r="D109" s="110"/>
      <c r="E109" s="107"/>
      <c r="F109" t="s" s="105">
        <v>103</v>
      </c>
      <c r="G109" s="106">
        <v>4</v>
      </c>
      <c r="H109" s="106">
        <v>50</v>
      </c>
      <c r="I109" s="107"/>
      <c r="J109" s="107"/>
      <c r="K109" s="107"/>
    </row>
    <row r="110" ht="20.35" customHeight="1">
      <c r="A110" s="108"/>
      <c r="B110" s="109"/>
      <c r="C110" s="110"/>
      <c r="D110" s="110"/>
      <c r="E110" s="107"/>
      <c r="F110" t="s" s="105">
        <v>113</v>
      </c>
      <c r="G110" s="106">
        <v>28</v>
      </c>
      <c r="H110" s="106">
        <v>30</v>
      </c>
      <c r="I110" s="107"/>
      <c r="J110" s="107"/>
      <c r="K110" s="107"/>
    </row>
    <row r="111" ht="20.35" customHeight="1">
      <c r="A111" s="108"/>
      <c r="B111" s="109"/>
      <c r="C111" s="110"/>
      <c r="D111" s="110"/>
      <c r="E111" s="107"/>
      <c r="F111" t="s" s="105">
        <v>124</v>
      </c>
      <c r="G111" s="106">
        <v>10</v>
      </c>
      <c r="H111" s="106">
        <v>30</v>
      </c>
      <c r="I111" s="107"/>
      <c r="J111" s="107"/>
      <c r="K111" s="107"/>
    </row>
    <row r="112" ht="20.35" customHeight="1">
      <c r="A112" s="108"/>
      <c r="B112" s="109"/>
      <c r="C112" s="110"/>
      <c r="D112" s="110"/>
      <c r="E112" s="107"/>
      <c r="F112" t="s" s="105">
        <v>40</v>
      </c>
      <c r="G112" s="106">
        <v>1</v>
      </c>
      <c r="H112" s="106">
        <v>30</v>
      </c>
      <c r="I112" s="107"/>
      <c r="J112" s="107"/>
      <c r="K112" s="107"/>
    </row>
    <row r="113" ht="20.35" customHeight="1">
      <c r="A113" s="108"/>
      <c r="B113" s="109"/>
      <c r="C113" s="110"/>
      <c r="D113" s="110"/>
      <c r="E113" s="107"/>
      <c r="F113" t="s" s="105">
        <v>115</v>
      </c>
      <c r="G113" s="106">
        <v>2</v>
      </c>
      <c r="H113" s="106">
        <v>12</v>
      </c>
      <c r="I113" s="107"/>
      <c r="J113" s="107"/>
      <c r="K113" s="107"/>
    </row>
    <row r="114" ht="20.35" customHeight="1">
      <c r="A114" s="108"/>
      <c r="B114" s="109"/>
      <c r="C114" s="110"/>
      <c r="D114" s="110"/>
      <c r="E114" s="107"/>
      <c r="F114" t="s" s="105">
        <v>112</v>
      </c>
      <c r="G114" s="106">
        <v>6</v>
      </c>
      <c r="H114" s="106">
        <v>15</v>
      </c>
      <c r="I114" s="107"/>
      <c r="J114" s="107"/>
      <c r="K114" s="107"/>
    </row>
    <row r="115" ht="20.35" customHeight="1">
      <c r="A115" s="108"/>
      <c r="B115" s="109"/>
      <c r="C115" s="110"/>
      <c r="D115" s="110"/>
      <c r="E115" s="107"/>
      <c r="F115" t="s" s="105">
        <v>104</v>
      </c>
      <c r="G115" s="106">
        <v>8</v>
      </c>
      <c r="H115" s="106">
        <v>15</v>
      </c>
      <c r="I115" s="107"/>
      <c r="J115" s="107"/>
      <c r="K115" s="107"/>
    </row>
    <row r="116" ht="20.35" customHeight="1">
      <c r="A116" s="108"/>
      <c r="B116" s="109"/>
      <c r="C116" s="110"/>
      <c r="D116" s="110"/>
      <c r="E116" s="107"/>
      <c r="F116" t="s" s="105">
        <v>111</v>
      </c>
      <c r="G116" s="106">
        <v>9</v>
      </c>
      <c r="H116" s="106">
        <v>30</v>
      </c>
      <c r="I116" s="107"/>
      <c r="J116" s="107"/>
      <c r="K116" s="107"/>
    </row>
    <row r="117" ht="20.35" customHeight="1">
      <c r="A117" s="108"/>
      <c r="B117" s="109"/>
      <c r="C117" s="110"/>
      <c r="D117" s="110"/>
      <c r="E117" s="107"/>
      <c r="F117" t="s" s="105">
        <v>109</v>
      </c>
      <c r="G117" s="106">
        <v>16</v>
      </c>
      <c r="H117" s="106">
        <v>30</v>
      </c>
      <c r="I117" s="107"/>
      <c r="J117" s="107"/>
      <c r="K117" s="107"/>
    </row>
    <row r="118" ht="20.35" customHeight="1">
      <c r="A118" s="108"/>
      <c r="B118" s="109"/>
      <c r="C118" s="110"/>
      <c r="D118" s="110"/>
      <c r="E118" s="107"/>
      <c r="F118" t="s" s="105">
        <v>94</v>
      </c>
      <c r="G118" s="106">
        <v>15</v>
      </c>
      <c r="H118" s="106">
        <v>30</v>
      </c>
      <c r="I118" s="107"/>
      <c r="J118" s="107"/>
      <c r="K118" s="107"/>
    </row>
    <row r="119" ht="20.35" customHeight="1">
      <c r="A119" s="108"/>
      <c r="B119" s="109"/>
      <c r="C119" s="110"/>
      <c r="D119" s="110"/>
      <c r="E119" s="107"/>
      <c r="F119" t="s" s="105">
        <v>91</v>
      </c>
      <c r="G119" s="106">
        <v>54</v>
      </c>
      <c r="H119" s="106">
        <v>4</v>
      </c>
      <c r="I119" s="107"/>
      <c r="J119" s="107"/>
      <c r="K119" s="107"/>
    </row>
    <row r="120" ht="20.35" customHeight="1">
      <c r="A120" s="108"/>
      <c r="B120" s="109"/>
      <c r="C120" s="110"/>
      <c r="D120" s="110"/>
      <c r="E120" s="107"/>
      <c r="F120" t="s" s="105">
        <v>118</v>
      </c>
      <c r="G120" s="106">
        <v>1</v>
      </c>
      <c r="H120" s="106">
        <v>4</v>
      </c>
      <c r="I120" s="107"/>
      <c r="J120" s="107"/>
      <c r="K120" s="107"/>
    </row>
    <row r="121" ht="20.35" customHeight="1">
      <c r="A121" s="108"/>
      <c r="B121" s="109"/>
      <c r="C121" s="110"/>
      <c r="D121" s="110"/>
      <c r="E121" s="107"/>
      <c r="F121" t="s" s="105">
        <v>96</v>
      </c>
      <c r="G121" s="106">
        <v>9</v>
      </c>
      <c r="H121" s="106">
        <v>30</v>
      </c>
      <c r="I121" s="107"/>
      <c r="J121" s="107"/>
      <c r="K121" s="107"/>
    </row>
    <row r="122" ht="20.35" customHeight="1">
      <c r="A122" s="108"/>
      <c r="B122" s="109"/>
      <c r="C122" s="110"/>
      <c r="D122" s="110"/>
      <c r="E122" s="107"/>
      <c r="F122" t="s" s="105">
        <v>92</v>
      </c>
      <c r="G122" s="106">
        <v>4</v>
      </c>
      <c r="H122" s="106">
        <v>40</v>
      </c>
      <c r="I122" s="107"/>
      <c r="J122" s="107"/>
      <c r="K122" s="107"/>
    </row>
    <row r="123" ht="20.35" customHeight="1">
      <c r="A123" s="108"/>
      <c r="B123" s="109"/>
      <c r="C123" s="110"/>
      <c r="D123" s="110"/>
      <c r="E123" s="107"/>
      <c r="F123" t="s" s="105">
        <v>117</v>
      </c>
      <c r="G123" s="106">
        <v>5</v>
      </c>
      <c r="H123" s="106">
        <v>20</v>
      </c>
      <c r="I123" s="107"/>
      <c r="J123" s="107"/>
      <c r="K123" s="107"/>
    </row>
    <row r="124" ht="20.35" customHeight="1">
      <c r="A124" s="108"/>
      <c r="B124" s="109"/>
      <c r="C124" s="110"/>
      <c r="D124" s="110"/>
      <c r="E124" s="107"/>
      <c r="F124" t="s" s="105">
        <v>136</v>
      </c>
      <c r="G124" s="106">
        <v>4</v>
      </c>
      <c r="H124" s="106">
        <v>25</v>
      </c>
      <c r="I124" s="107"/>
      <c r="J124" s="107"/>
      <c r="K124" s="107"/>
    </row>
    <row r="125" ht="20.35" customHeight="1">
      <c r="A125" s="108"/>
      <c r="B125" s="109"/>
      <c r="C125" s="110"/>
      <c r="D125" s="110"/>
      <c r="E125" s="107"/>
      <c r="F125" s="107"/>
      <c r="G125" s="107"/>
      <c r="H125" s="107"/>
      <c r="I125" s="107"/>
      <c r="J125" s="107"/>
      <c r="K125" s="107"/>
    </row>
    <row r="126" ht="20.35" customHeight="1">
      <c r="A126" t="s" s="111">
        <v>141</v>
      </c>
      <c r="B126" t="s" s="112">
        <v>142</v>
      </c>
      <c r="C126" t="s" s="113">
        <v>143</v>
      </c>
      <c r="D126" t="s" s="113">
        <v>144</v>
      </c>
      <c r="E126" t="s" s="105">
        <v>88</v>
      </c>
      <c r="F126" s="107"/>
      <c r="G126" s="107"/>
      <c r="H126" s="107"/>
      <c r="I126" s="107"/>
      <c r="J126" s="107"/>
      <c r="K126" s="107"/>
    </row>
    <row r="127" ht="20.35" customHeight="1">
      <c r="A127" s="108"/>
      <c r="B127" s="109"/>
      <c r="C127" s="110"/>
      <c r="D127" s="110"/>
      <c r="E127" s="107"/>
      <c r="F127" t="s" s="105">
        <v>130</v>
      </c>
      <c r="G127" s="106">
        <v>2</v>
      </c>
      <c r="H127" s="106">
        <v>10</v>
      </c>
      <c r="I127" s="107"/>
      <c r="J127" s="107"/>
      <c r="K127" s="107"/>
    </row>
    <row r="128" ht="20.35" customHeight="1">
      <c r="A128" s="108"/>
      <c r="B128" s="109"/>
      <c r="C128" s="110"/>
      <c r="D128" s="110"/>
      <c r="E128" s="107"/>
      <c r="F128" t="s" s="105">
        <v>111</v>
      </c>
      <c r="G128" s="106">
        <v>2</v>
      </c>
      <c r="H128" s="106">
        <v>20</v>
      </c>
      <c r="I128" s="107"/>
      <c r="J128" s="107"/>
      <c r="K128" s="107"/>
    </row>
    <row r="129" ht="20.35" customHeight="1">
      <c r="A129" s="108"/>
      <c r="B129" s="109"/>
      <c r="C129" s="110"/>
      <c r="D129" s="110"/>
      <c r="E129" s="107"/>
      <c r="F129" t="s" s="105">
        <v>105</v>
      </c>
      <c r="G129" s="106">
        <v>1</v>
      </c>
      <c r="H129" s="106">
        <v>15</v>
      </c>
      <c r="I129" s="107"/>
      <c r="J129" s="107"/>
      <c r="K129" s="107"/>
    </row>
    <row r="130" ht="20.35" customHeight="1">
      <c r="A130" s="108"/>
      <c r="B130" s="109"/>
      <c r="C130" s="110"/>
      <c r="D130" s="110"/>
      <c r="E130" s="107"/>
      <c r="F130" t="s" s="105">
        <v>37</v>
      </c>
      <c r="G130" s="106">
        <v>1</v>
      </c>
      <c r="H130" s="106">
        <v>60</v>
      </c>
      <c r="I130" s="107"/>
      <c r="J130" s="107"/>
      <c r="K130" s="107"/>
    </row>
    <row r="131" ht="20.35" customHeight="1">
      <c r="A131" s="108"/>
      <c r="B131" s="109"/>
      <c r="C131" s="110"/>
      <c r="D131" s="110"/>
      <c r="E131" s="107"/>
      <c r="F131" t="s" s="105">
        <v>131</v>
      </c>
      <c r="G131" s="106">
        <v>7</v>
      </c>
      <c r="H131" s="106">
        <v>40</v>
      </c>
      <c r="I131" s="107"/>
      <c r="J131" s="107"/>
      <c r="K131" s="107"/>
    </row>
    <row r="132" ht="20.35" customHeight="1">
      <c r="A132" s="108"/>
      <c r="B132" s="109"/>
      <c r="C132" s="110"/>
      <c r="D132" s="110"/>
      <c r="E132" s="107"/>
      <c r="F132" t="s" s="105">
        <v>132</v>
      </c>
      <c r="G132" s="106">
        <v>1</v>
      </c>
      <c r="H132" s="106">
        <v>40</v>
      </c>
      <c r="I132" s="107"/>
      <c r="J132" s="107"/>
      <c r="K132" s="107"/>
    </row>
    <row r="133" ht="20.35" customHeight="1">
      <c r="A133" s="108"/>
      <c r="B133" s="109"/>
      <c r="C133" s="110"/>
      <c r="D133" s="110"/>
      <c r="E133" s="107"/>
      <c r="F133" t="s" s="105">
        <v>100</v>
      </c>
      <c r="G133" s="106">
        <v>1</v>
      </c>
      <c r="H133" s="106">
        <v>60</v>
      </c>
      <c r="I133" s="107"/>
      <c r="J133" s="107"/>
      <c r="K133" s="107"/>
    </row>
    <row r="134" ht="20.35" customHeight="1">
      <c r="A134" s="108"/>
      <c r="B134" s="109"/>
      <c r="C134" s="110"/>
      <c r="D134" s="110"/>
      <c r="E134" s="107"/>
      <c r="F134" t="s" s="105">
        <v>101</v>
      </c>
      <c r="G134" s="106">
        <v>2</v>
      </c>
      <c r="H134" s="106">
        <v>60</v>
      </c>
      <c r="I134" s="107"/>
      <c r="J134" s="107"/>
      <c r="K134" s="107"/>
    </row>
    <row r="135" ht="20.35" customHeight="1">
      <c r="A135" s="108"/>
      <c r="B135" s="109"/>
      <c r="C135" s="110"/>
      <c r="D135" s="110"/>
      <c r="E135" s="107"/>
      <c r="F135" t="s" s="105">
        <v>102</v>
      </c>
      <c r="G135" s="106">
        <v>9</v>
      </c>
      <c r="H135" s="106">
        <v>60</v>
      </c>
      <c r="I135" s="107"/>
      <c r="J135" s="107"/>
      <c r="K135" s="107"/>
    </row>
    <row r="136" ht="20.35" customHeight="1">
      <c r="A136" s="108"/>
      <c r="B136" s="109"/>
      <c r="C136" s="110"/>
      <c r="D136" s="110"/>
      <c r="E136" s="107"/>
      <c r="F136" t="s" s="105">
        <v>100</v>
      </c>
      <c r="G136" s="106">
        <v>7</v>
      </c>
      <c r="H136" s="106">
        <v>60</v>
      </c>
      <c r="I136" s="107"/>
      <c r="J136" s="107"/>
      <c r="K136" s="107"/>
    </row>
    <row r="137" ht="20.35" customHeight="1">
      <c r="A137" s="108"/>
      <c r="B137" s="109"/>
      <c r="C137" s="110"/>
      <c r="D137" s="110"/>
      <c r="E137" s="107"/>
      <c r="F137" t="s" s="105">
        <v>99</v>
      </c>
      <c r="G137" s="106">
        <v>4</v>
      </c>
      <c r="H137" s="106">
        <v>55</v>
      </c>
      <c r="I137" s="107"/>
      <c r="J137" s="107"/>
      <c r="K137" s="107"/>
    </row>
    <row r="138" ht="20.35" customHeight="1">
      <c r="A138" s="108"/>
      <c r="B138" s="109"/>
      <c r="C138" s="110"/>
      <c r="D138" s="110"/>
      <c r="E138" s="107"/>
      <c r="F138" t="s" s="105">
        <v>123</v>
      </c>
      <c r="G138" s="106">
        <v>1</v>
      </c>
      <c r="H138" s="106">
        <v>40</v>
      </c>
      <c r="I138" s="107"/>
      <c r="J138" s="107"/>
      <c r="K138" s="107"/>
    </row>
    <row r="139" ht="20.35" customHeight="1">
      <c r="A139" s="108"/>
      <c r="B139" s="109"/>
      <c r="C139" s="110"/>
      <c r="D139" s="110"/>
      <c r="E139" s="107"/>
      <c r="F139" t="s" s="105">
        <v>89</v>
      </c>
      <c r="G139" s="106">
        <v>5</v>
      </c>
      <c r="H139" s="106">
        <v>45</v>
      </c>
      <c r="I139" s="107"/>
      <c r="J139" s="107"/>
      <c r="K139" s="107"/>
    </row>
    <row r="140" ht="20.35" customHeight="1">
      <c r="A140" s="108"/>
      <c r="B140" s="109"/>
      <c r="C140" s="110"/>
      <c r="D140" s="110"/>
      <c r="E140" s="107"/>
      <c r="F140" t="s" s="105">
        <v>103</v>
      </c>
      <c r="G140" s="106">
        <v>2</v>
      </c>
      <c r="H140" s="106">
        <v>50</v>
      </c>
      <c r="I140" s="107"/>
      <c r="J140" s="107"/>
      <c r="K140" s="107"/>
    </row>
    <row r="141" ht="20.35" customHeight="1">
      <c r="A141" s="108"/>
      <c r="B141" s="109"/>
      <c r="C141" s="110"/>
      <c r="D141" s="110"/>
      <c r="E141" s="107"/>
      <c r="F141" t="s" s="105">
        <v>113</v>
      </c>
      <c r="G141" s="106">
        <v>7</v>
      </c>
      <c r="H141" s="106">
        <v>30</v>
      </c>
      <c r="I141" s="107"/>
      <c r="J141" s="107"/>
      <c r="K141" s="107"/>
    </row>
    <row r="142" ht="20.35" customHeight="1">
      <c r="A142" s="108"/>
      <c r="B142" s="109"/>
      <c r="C142" s="110"/>
      <c r="D142" s="110"/>
      <c r="E142" s="107"/>
      <c r="F142" t="s" s="105">
        <v>112</v>
      </c>
      <c r="G142" s="106">
        <v>5</v>
      </c>
      <c r="H142" s="106">
        <v>15</v>
      </c>
      <c r="I142" s="107"/>
      <c r="J142" s="107"/>
      <c r="K142" s="107"/>
    </row>
    <row r="143" ht="20.35" customHeight="1">
      <c r="A143" s="108"/>
      <c r="B143" s="109"/>
      <c r="C143" s="110"/>
      <c r="D143" s="110"/>
      <c r="E143" s="107"/>
      <c r="F143" t="s" s="105">
        <v>104</v>
      </c>
      <c r="G143" s="106">
        <v>5</v>
      </c>
      <c r="H143" s="106">
        <v>15</v>
      </c>
      <c r="I143" s="107"/>
      <c r="J143" s="107"/>
      <c r="K143" s="107"/>
    </row>
    <row r="144" ht="20.35" customHeight="1">
      <c r="A144" s="108"/>
      <c r="B144" s="109"/>
      <c r="C144" s="110"/>
      <c r="D144" s="110"/>
      <c r="E144" s="107"/>
      <c r="F144" t="s" s="105">
        <v>111</v>
      </c>
      <c r="G144" s="106">
        <v>13</v>
      </c>
      <c r="H144" s="106">
        <v>30</v>
      </c>
      <c r="I144" s="107"/>
      <c r="J144" s="107"/>
      <c r="K144" s="107"/>
    </row>
    <row r="145" ht="20.35" customHeight="1">
      <c r="A145" s="108"/>
      <c r="B145" s="109"/>
      <c r="C145" s="110"/>
      <c r="D145" s="110"/>
      <c r="E145" s="107"/>
      <c r="F145" t="s" s="105">
        <v>109</v>
      </c>
      <c r="G145" s="106">
        <v>10</v>
      </c>
      <c r="H145" s="106">
        <v>30</v>
      </c>
      <c r="I145" s="107"/>
      <c r="J145" s="107"/>
      <c r="K145" s="107"/>
    </row>
    <row r="146" ht="20.35" customHeight="1">
      <c r="A146" s="108"/>
      <c r="B146" s="109"/>
      <c r="C146" s="110"/>
      <c r="D146" s="110"/>
      <c r="E146" s="107"/>
      <c r="F146" t="s" s="105">
        <v>94</v>
      </c>
      <c r="G146" s="106">
        <v>7</v>
      </c>
      <c r="H146" s="106">
        <v>30</v>
      </c>
      <c r="I146" s="107"/>
      <c r="J146" s="107"/>
      <c r="K146" s="107"/>
    </row>
    <row r="147" ht="20.35" customHeight="1">
      <c r="A147" s="108"/>
      <c r="B147" s="109"/>
      <c r="C147" s="110"/>
      <c r="D147" s="110"/>
      <c r="E147" s="107"/>
      <c r="F147" t="s" s="105">
        <v>91</v>
      </c>
      <c r="G147" s="106">
        <v>29</v>
      </c>
      <c r="H147" s="106">
        <v>4</v>
      </c>
      <c r="I147" s="107"/>
      <c r="J147" s="107"/>
      <c r="K147" s="107"/>
    </row>
    <row r="148" ht="20.35" customHeight="1">
      <c r="A148" s="108"/>
      <c r="B148" s="109"/>
      <c r="C148" s="110"/>
      <c r="D148" s="110"/>
      <c r="E148" s="107"/>
      <c r="F148" t="s" s="105">
        <v>118</v>
      </c>
      <c r="G148" s="106">
        <v>1</v>
      </c>
      <c r="H148" s="106">
        <v>4</v>
      </c>
      <c r="I148" s="107"/>
      <c r="J148" s="107"/>
      <c r="K148" s="107"/>
    </row>
    <row r="149" ht="20.35" customHeight="1">
      <c r="A149" s="108"/>
      <c r="B149" s="109"/>
      <c r="C149" s="110"/>
      <c r="D149" s="110"/>
      <c r="E149" s="107"/>
      <c r="F149" t="s" s="105">
        <v>96</v>
      </c>
      <c r="G149" s="106">
        <v>8</v>
      </c>
      <c r="H149" s="106">
        <v>30</v>
      </c>
      <c r="I149" s="107"/>
      <c r="J149" s="107"/>
      <c r="K149" s="107"/>
    </row>
    <row r="150" ht="20.35" customHeight="1">
      <c r="A150" s="108"/>
      <c r="B150" s="109"/>
      <c r="C150" s="110"/>
      <c r="D150" s="110"/>
      <c r="E150" s="107"/>
      <c r="F150" t="s" s="105">
        <v>92</v>
      </c>
      <c r="G150" s="106">
        <v>3</v>
      </c>
      <c r="H150" s="106">
        <v>40</v>
      </c>
      <c r="I150" s="107"/>
      <c r="J150" s="107"/>
      <c r="K150" s="107"/>
    </row>
    <row r="151" ht="20.35" customHeight="1">
      <c r="A151" s="108"/>
      <c r="B151" s="109"/>
      <c r="C151" s="110"/>
      <c r="D151" s="110"/>
      <c r="E151" s="107"/>
      <c r="F151" t="s" s="105">
        <v>117</v>
      </c>
      <c r="G151" s="106">
        <v>7</v>
      </c>
      <c r="H151" s="106">
        <v>20</v>
      </c>
      <c r="I151" s="107"/>
      <c r="J151" s="107"/>
      <c r="K151" s="107"/>
    </row>
    <row r="152" ht="20.35" customHeight="1">
      <c r="A152" s="108"/>
      <c r="B152" s="109"/>
      <c r="C152" s="110"/>
      <c r="D152" s="110"/>
      <c r="E152" s="107"/>
      <c r="F152" s="107"/>
      <c r="G152" s="107"/>
      <c r="H152" s="107"/>
      <c r="I152" s="107"/>
      <c r="J152" s="107"/>
      <c r="K152" s="107"/>
    </row>
    <row r="153" ht="20.35" customHeight="1">
      <c r="A153" t="s" s="111">
        <v>145</v>
      </c>
      <c r="B153" t="s" s="112">
        <v>146</v>
      </c>
      <c r="C153" t="s" s="113">
        <v>147</v>
      </c>
      <c r="D153" t="s" s="113">
        <v>148</v>
      </c>
      <c r="E153" t="s" s="105">
        <v>88</v>
      </c>
      <c r="F153" s="107"/>
      <c r="G153" s="107"/>
      <c r="H153" s="107"/>
      <c r="I153" s="107"/>
      <c r="J153" s="107"/>
      <c r="K153" s="107"/>
    </row>
    <row r="154" ht="20.35" customHeight="1">
      <c r="A154" s="108"/>
      <c r="B154" s="109"/>
      <c r="C154" s="110"/>
      <c r="D154" s="110"/>
      <c r="E154" s="107"/>
      <c r="F154" t="s" s="105">
        <v>105</v>
      </c>
      <c r="G154" s="106">
        <v>2</v>
      </c>
      <c r="H154" s="106">
        <v>15</v>
      </c>
      <c r="I154" s="107"/>
      <c r="J154" s="107"/>
      <c r="K154" s="107"/>
    </row>
    <row r="155" ht="20.35" customHeight="1">
      <c r="A155" s="108"/>
      <c r="B155" s="109"/>
      <c r="C155" s="110"/>
      <c r="D155" s="110"/>
      <c r="E155" s="107"/>
      <c r="F155" t="s" s="105">
        <v>37</v>
      </c>
      <c r="G155" s="106">
        <v>1</v>
      </c>
      <c r="H155" s="106">
        <v>60</v>
      </c>
      <c r="I155" s="107"/>
      <c r="J155" s="107"/>
      <c r="K155" s="107"/>
    </row>
    <row r="156" ht="20.35" customHeight="1">
      <c r="A156" s="108"/>
      <c r="B156" s="109"/>
      <c r="C156" s="110"/>
      <c r="D156" s="110"/>
      <c r="E156" s="107"/>
      <c r="F156" t="s" s="105">
        <v>132</v>
      </c>
      <c r="G156" s="106">
        <v>2</v>
      </c>
      <c r="H156" s="106">
        <v>40</v>
      </c>
      <c r="I156" s="107"/>
      <c r="J156" s="107"/>
      <c r="K156" s="107"/>
    </row>
    <row r="157" ht="20.35" customHeight="1">
      <c r="A157" s="108"/>
      <c r="B157" s="109"/>
      <c r="C157" s="110"/>
      <c r="D157" s="110"/>
      <c r="E157" s="107"/>
      <c r="F157" t="s" s="105">
        <v>100</v>
      </c>
      <c r="G157" s="106">
        <v>5</v>
      </c>
      <c r="H157" s="106">
        <v>60</v>
      </c>
      <c r="I157" s="107"/>
      <c r="J157" s="107"/>
      <c r="K157" s="107"/>
    </row>
    <row r="158" ht="20.35" customHeight="1">
      <c r="A158" s="108"/>
      <c r="B158" s="109"/>
      <c r="C158" s="110"/>
      <c r="D158" s="110"/>
      <c r="E158" s="107"/>
      <c r="F158" t="s" s="105">
        <v>99</v>
      </c>
      <c r="G158" s="106">
        <v>8</v>
      </c>
      <c r="H158" s="106">
        <v>55</v>
      </c>
      <c r="I158" s="107"/>
      <c r="J158" s="107"/>
      <c r="K158" s="107"/>
    </row>
    <row r="159" ht="20.35" customHeight="1">
      <c r="A159" s="108"/>
      <c r="B159" s="109"/>
      <c r="C159" s="110"/>
      <c r="D159" s="110"/>
      <c r="E159" s="107"/>
      <c r="F159" t="s" s="105">
        <v>89</v>
      </c>
      <c r="G159" s="106">
        <v>1</v>
      </c>
      <c r="H159" s="106">
        <v>45</v>
      </c>
      <c r="I159" s="107"/>
      <c r="J159" s="107"/>
      <c r="K159" s="107"/>
    </row>
    <row r="160" ht="20.35" customHeight="1">
      <c r="A160" s="108"/>
      <c r="B160" s="109"/>
      <c r="C160" s="110"/>
      <c r="D160" s="110"/>
      <c r="E160" s="107"/>
      <c r="F160" t="s" s="105">
        <v>113</v>
      </c>
      <c r="G160" s="106">
        <v>9</v>
      </c>
      <c r="H160" s="106">
        <v>30</v>
      </c>
      <c r="I160" s="107"/>
      <c r="J160" s="107"/>
      <c r="K160" s="107"/>
    </row>
    <row r="161" ht="20.35" customHeight="1">
      <c r="A161" s="108"/>
      <c r="B161" s="109"/>
      <c r="C161" s="110"/>
      <c r="D161" s="110"/>
      <c r="E161" s="107"/>
      <c r="F161" t="s" s="105">
        <v>40</v>
      </c>
      <c r="G161" s="106">
        <v>2</v>
      </c>
      <c r="H161" s="106">
        <v>30</v>
      </c>
      <c r="I161" s="107"/>
      <c r="J161" s="107"/>
      <c r="K161" s="107"/>
    </row>
    <row r="162" ht="20.35" customHeight="1">
      <c r="A162" s="108"/>
      <c r="B162" s="109"/>
      <c r="C162" s="110"/>
      <c r="D162" s="110"/>
      <c r="E162" s="107"/>
      <c r="F162" t="s" s="105">
        <v>115</v>
      </c>
      <c r="G162" s="106">
        <v>2</v>
      </c>
      <c r="H162" s="106">
        <v>12</v>
      </c>
      <c r="I162" s="107"/>
      <c r="J162" s="107"/>
      <c r="K162" s="107"/>
    </row>
    <row r="163" ht="20.35" customHeight="1">
      <c r="A163" s="108"/>
      <c r="B163" s="109"/>
      <c r="C163" s="110"/>
      <c r="D163" s="110"/>
      <c r="E163" s="107"/>
      <c r="F163" t="s" s="105">
        <v>112</v>
      </c>
      <c r="G163" s="106">
        <v>4</v>
      </c>
      <c r="H163" s="106">
        <v>15</v>
      </c>
      <c r="I163" s="107"/>
      <c r="J163" s="107"/>
      <c r="K163" s="107"/>
    </row>
    <row r="164" ht="20.35" customHeight="1">
      <c r="A164" s="108"/>
      <c r="B164" s="109"/>
      <c r="C164" s="110"/>
      <c r="D164" s="110"/>
      <c r="E164" s="107"/>
      <c r="F164" t="s" s="105">
        <v>104</v>
      </c>
      <c r="G164" s="106">
        <v>1</v>
      </c>
      <c r="H164" s="106">
        <v>15</v>
      </c>
      <c r="I164" s="107"/>
      <c r="J164" s="107"/>
      <c r="K164" s="107"/>
    </row>
    <row r="165" ht="20.35" customHeight="1">
      <c r="A165" s="108"/>
      <c r="B165" s="109"/>
      <c r="C165" s="110"/>
      <c r="D165" s="110"/>
      <c r="E165" s="107"/>
      <c r="F165" t="s" s="105">
        <v>111</v>
      </c>
      <c r="G165" s="106">
        <v>1</v>
      </c>
      <c r="H165" s="106">
        <v>30</v>
      </c>
      <c r="I165" s="107"/>
      <c r="J165" s="107"/>
      <c r="K165" s="107"/>
    </row>
    <row r="166" ht="20.35" customHeight="1">
      <c r="A166" s="108"/>
      <c r="B166" s="109"/>
      <c r="C166" s="110"/>
      <c r="D166" s="110"/>
      <c r="E166" s="107"/>
      <c r="F166" t="s" s="105">
        <v>94</v>
      </c>
      <c r="G166" s="106">
        <v>2</v>
      </c>
      <c r="H166" s="106">
        <v>30</v>
      </c>
      <c r="I166" s="107"/>
      <c r="J166" s="107"/>
      <c r="K166" s="107"/>
    </row>
    <row r="167" ht="20.35" customHeight="1">
      <c r="A167" s="108"/>
      <c r="B167" s="109"/>
      <c r="C167" s="110"/>
      <c r="D167" s="110"/>
      <c r="E167" s="107"/>
      <c r="F167" t="s" s="105">
        <v>109</v>
      </c>
      <c r="G167" s="106">
        <v>5</v>
      </c>
      <c r="H167" s="106">
        <v>30</v>
      </c>
      <c r="I167" s="107"/>
      <c r="J167" s="107"/>
      <c r="K167" s="107"/>
    </row>
    <row r="168" ht="20.35" customHeight="1">
      <c r="A168" s="108"/>
      <c r="B168" s="109"/>
      <c r="C168" s="110"/>
      <c r="D168" s="110"/>
      <c r="E168" s="107"/>
      <c r="F168" t="s" s="105">
        <v>91</v>
      </c>
      <c r="G168" s="106">
        <v>20</v>
      </c>
      <c r="H168" s="106">
        <v>4</v>
      </c>
      <c r="I168" s="107"/>
      <c r="J168" s="107"/>
      <c r="K168" s="107"/>
    </row>
    <row r="169" ht="20.35" customHeight="1">
      <c r="A169" s="108"/>
      <c r="B169" s="109"/>
      <c r="C169" s="110"/>
      <c r="D169" s="110"/>
      <c r="E169" s="107"/>
      <c r="F169" t="s" s="105">
        <v>118</v>
      </c>
      <c r="G169" s="106">
        <v>1</v>
      </c>
      <c r="H169" s="106">
        <v>4</v>
      </c>
      <c r="I169" s="107"/>
      <c r="J169" s="107"/>
      <c r="K169" s="107"/>
    </row>
    <row r="170" ht="20.35" customHeight="1">
      <c r="A170" s="108"/>
      <c r="B170" s="109"/>
      <c r="C170" s="110"/>
      <c r="D170" s="110"/>
      <c r="E170" s="107"/>
      <c r="F170" t="s" s="105">
        <v>96</v>
      </c>
      <c r="G170" s="106">
        <v>4</v>
      </c>
      <c r="H170" s="106">
        <v>30</v>
      </c>
      <c r="I170" s="107"/>
      <c r="J170" s="107"/>
      <c r="K170" s="107"/>
    </row>
    <row r="171" ht="20.35" customHeight="1">
      <c r="A171" s="108"/>
      <c r="B171" s="109"/>
      <c r="C171" s="110"/>
      <c r="D171" s="110"/>
      <c r="E171" s="107"/>
      <c r="F171" t="s" s="105">
        <v>117</v>
      </c>
      <c r="G171" s="106">
        <v>3</v>
      </c>
      <c r="H171" s="106">
        <v>20</v>
      </c>
      <c r="I171" s="107"/>
      <c r="J171" s="107"/>
      <c r="K171" s="107"/>
    </row>
    <row r="172" ht="20.35" customHeight="1">
      <c r="A172" s="108"/>
      <c r="B172" s="109"/>
      <c r="C172" s="110"/>
      <c r="D172" s="110"/>
      <c r="E172" s="107"/>
      <c r="F172" t="s" s="105">
        <v>136</v>
      </c>
      <c r="G172" s="106">
        <v>2</v>
      </c>
      <c r="H172" s="106">
        <v>25</v>
      </c>
      <c r="I172" s="107"/>
      <c r="J172" s="107"/>
      <c r="K172" s="107"/>
    </row>
    <row r="173" ht="20.35" customHeight="1">
      <c r="A173" s="108"/>
      <c r="B173" s="109"/>
      <c r="C173" s="110"/>
      <c r="D173" s="110"/>
      <c r="E173" s="107"/>
      <c r="F173" s="107"/>
      <c r="G173" s="107"/>
      <c r="H173" s="107"/>
      <c r="I173" s="107"/>
      <c r="J173" s="107"/>
      <c r="K173" s="107"/>
    </row>
    <row r="174" ht="20.35" customHeight="1">
      <c r="A174" t="s" s="111">
        <v>119</v>
      </c>
      <c r="B174" t="s" s="112">
        <v>149</v>
      </c>
      <c r="C174" t="s" s="113">
        <v>150</v>
      </c>
      <c r="D174" t="s" s="113">
        <v>144</v>
      </c>
      <c r="E174" t="s" s="105">
        <v>88</v>
      </c>
      <c r="F174" s="107"/>
      <c r="G174" s="107"/>
      <c r="H174" s="107"/>
      <c r="I174" s="107"/>
      <c r="J174" s="107"/>
      <c r="K174" s="107"/>
    </row>
    <row r="175" ht="20.35" customHeight="1">
      <c r="A175" t="s" s="111">
        <v>126</v>
      </c>
      <c r="B175" t="s" s="112">
        <v>151</v>
      </c>
      <c r="C175" t="s" s="113">
        <v>152</v>
      </c>
      <c r="D175" t="s" s="113">
        <v>153</v>
      </c>
      <c r="E175" t="s" s="105">
        <v>154</v>
      </c>
      <c r="F175" s="107"/>
      <c r="G175" s="107"/>
      <c r="H175" s="107"/>
      <c r="I175" s="107"/>
      <c r="J175" s="107"/>
      <c r="K175" s="107"/>
    </row>
    <row r="176" ht="20.35" customHeight="1">
      <c r="A176" t="s" s="111">
        <v>137</v>
      </c>
      <c r="B176" t="s" s="112">
        <v>155</v>
      </c>
      <c r="C176" t="s" s="113">
        <v>156</v>
      </c>
      <c r="D176" t="s" s="113">
        <v>157</v>
      </c>
      <c r="E176" t="s" s="105">
        <v>88</v>
      </c>
      <c r="F176" s="107"/>
      <c r="G176" s="107"/>
      <c r="H176" s="107"/>
      <c r="I176" s="107"/>
      <c r="J176" s="107"/>
      <c r="K176" s="107"/>
    </row>
    <row r="177" ht="20.35" customHeight="1">
      <c r="A177" t="s" s="111">
        <v>141</v>
      </c>
      <c r="B177" t="s" s="112">
        <v>158</v>
      </c>
      <c r="C177" t="s" s="113">
        <v>159</v>
      </c>
      <c r="D177" t="s" s="113">
        <v>160</v>
      </c>
      <c r="E177" t="s" s="105">
        <v>88</v>
      </c>
      <c r="F177" s="107"/>
      <c r="G177" s="107"/>
      <c r="H177" s="107"/>
      <c r="I177" s="107"/>
      <c r="J177" s="107"/>
      <c r="K177" s="107"/>
    </row>
    <row r="178" ht="20.35" customHeight="1">
      <c r="A178" t="s" s="111">
        <v>145</v>
      </c>
      <c r="B178" t="s" s="112">
        <v>161</v>
      </c>
      <c r="C178" t="s" s="113">
        <v>162</v>
      </c>
      <c r="D178" t="s" s="113">
        <v>163</v>
      </c>
      <c r="E178" t="s" s="105">
        <v>164</v>
      </c>
      <c r="F178" s="107"/>
      <c r="G178" s="107"/>
      <c r="H178" s="107"/>
      <c r="I178" s="107"/>
      <c r="J178" s="107"/>
      <c r="K178" s="107"/>
    </row>
    <row r="179" ht="20.35" customHeight="1">
      <c r="A179" t="s" s="111">
        <v>137</v>
      </c>
      <c r="B179" t="s" s="112">
        <v>165</v>
      </c>
      <c r="C179" t="s" s="113">
        <v>166</v>
      </c>
      <c r="D179" t="s" s="113">
        <v>167</v>
      </c>
      <c r="E179" t="s" s="105">
        <v>154</v>
      </c>
      <c r="F179" s="107"/>
      <c r="G179" s="107"/>
      <c r="H179" s="107"/>
      <c r="I179" s="107"/>
      <c r="J179" s="107"/>
      <c r="K179" s="107"/>
    </row>
    <row r="180" ht="20.35" customHeight="1">
      <c r="A180" t="s" s="111">
        <v>141</v>
      </c>
      <c r="B180" t="s" s="112">
        <v>168</v>
      </c>
      <c r="C180" t="s" s="113">
        <v>169</v>
      </c>
      <c r="D180" t="s" s="113">
        <v>170</v>
      </c>
      <c r="E180" t="s" s="105">
        <v>154</v>
      </c>
      <c r="F180" s="107"/>
      <c r="G180" s="107"/>
      <c r="H180" s="107"/>
      <c r="I180" s="107"/>
      <c r="J180" s="107"/>
      <c r="K180" s="107"/>
    </row>
    <row r="181" ht="20.35" customHeight="1">
      <c r="A181" t="s" s="111">
        <v>84</v>
      </c>
      <c r="B181" t="s" s="112">
        <v>171</v>
      </c>
      <c r="C181" t="s" s="113">
        <v>172</v>
      </c>
      <c r="D181" t="s" s="113">
        <v>173</v>
      </c>
      <c r="E181" t="s" s="105">
        <v>154</v>
      </c>
      <c r="F181" s="107"/>
      <c r="G181" s="107"/>
      <c r="H181" s="107"/>
      <c r="I181" s="107"/>
      <c r="J181" s="107"/>
      <c r="K181" s="107"/>
    </row>
    <row r="182" ht="20.35" customHeight="1">
      <c r="A182" t="s" s="111">
        <v>119</v>
      </c>
      <c r="B182" t="s" s="112">
        <v>174</v>
      </c>
      <c r="C182" t="s" s="113">
        <v>175</v>
      </c>
      <c r="D182" t="s" s="113">
        <v>176</v>
      </c>
      <c r="E182" t="s" s="105">
        <v>164</v>
      </c>
      <c r="F182" s="107"/>
      <c r="G182" s="107"/>
      <c r="H182" s="107"/>
      <c r="I182" s="107"/>
      <c r="J182" s="107"/>
      <c r="K182" s="107"/>
    </row>
    <row r="183" ht="20.35" customHeight="1">
      <c r="A183" t="s" s="111">
        <v>126</v>
      </c>
      <c r="B183" t="s" s="112">
        <v>177</v>
      </c>
      <c r="C183" t="s" s="113">
        <v>178</v>
      </c>
      <c r="D183" t="s" s="113">
        <v>179</v>
      </c>
      <c r="E183" t="s" s="105">
        <v>164</v>
      </c>
      <c r="F183" s="107"/>
      <c r="G183" s="107"/>
      <c r="H183" s="107"/>
      <c r="I183" s="107"/>
      <c r="J183" s="107"/>
      <c r="K183" s="107"/>
    </row>
    <row r="184" ht="20.35" customHeight="1">
      <c r="A184" t="s" s="111">
        <v>141</v>
      </c>
      <c r="B184" t="s" s="112">
        <v>180</v>
      </c>
      <c r="C184" t="s" s="113">
        <v>181</v>
      </c>
      <c r="D184" t="s" s="113">
        <v>182</v>
      </c>
      <c r="E184" t="s" s="105">
        <v>164</v>
      </c>
      <c r="F184" s="107"/>
      <c r="G184" s="107"/>
      <c r="H184" s="107"/>
      <c r="I184" s="107"/>
      <c r="J184" s="107"/>
      <c r="K184" s="107"/>
    </row>
    <row r="185" ht="20.35" customHeight="1">
      <c r="A185" t="s" s="111">
        <v>145</v>
      </c>
      <c r="B185" t="s" s="112">
        <v>183</v>
      </c>
      <c r="C185" t="s" s="113">
        <v>184</v>
      </c>
      <c r="D185" t="s" s="113">
        <v>185</v>
      </c>
      <c r="E185" t="s" s="105">
        <v>164</v>
      </c>
      <c r="F185" s="107"/>
      <c r="G185" s="107"/>
      <c r="H185" s="107"/>
      <c r="I185" s="107"/>
      <c r="J185" s="107"/>
      <c r="K185" s="107"/>
    </row>
    <row r="186" ht="20.35" customHeight="1">
      <c r="A186" t="s" s="111">
        <v>119</v>
      </c>
      <c r="B186" t="s" s="112">
        <v>186</v>
      </c>
      <c r="C186" t="s" s="113">
        <v>187</v>
      </c>
      <c r="D186" t="s" s="113">
        <v>188</v>
      </c>
      <c r="E186" t="s" s="105">
        <v>189</v>
      </c>
      <c r="F186" s="107"/>
      <c r="G186" s="107"/>
      <c r="H186" s="107"/>
      <c r="I186" s="107"/>
      <c r="J186" s="107"/>
      <c r="K186" s="107"/>
    </row>
    <row r="187" ht="20.35" customHeight="1">
      <c r="A187" t="s" s="111">
        <v>126</v>
      </c>
      <c r="B187" t="s" s="112">
        <v>190</v>
      </c>
      <c r="C187" t="s" s="113">
        <v>191</v>
      </c>
      <c r="D187" t="s" s="113">
        <v>192</v>
      </c>
      <c r="E187" t="s" s="105">
        <v>189</v>
      </c>
      <c r="F187" s="107"/>
      <c r="G187" s="107"/>
      <c r="H187" s="107"/>
      <c r="I187" s="107"/>
      <c r="J187" s="107"/>
      <c r="K187" s="107"/>
    </row>
    <row r="188" ht="20.35" customHeight="1">
      <c r="A188" t="s" s="111">
        <v>137</v>
      </c>
      <c r="B188" t="s" s="112">
        <v>193</v>
      </c>
      <c r="C188" t="s" s="113">
        <v>194</v>
      </c>
      <c r="D188" t="s" s="113">
        <v>195</v>
      </c>
      <c r="E188" t="s" s="105">
        <v>189</v>
      </c>
      <c r="F188" s="107"/>
      <c r="G188" s="107"/>
      <c r="H188" s="107"/>
      <c r="I188" s="107"/>
      <c r="J188" s="107"/>
      <c r="K188" s="107"/>
    </row>
    <row r="189" ht="20.35" customHeight="1">
      <c r="A189" t="s" s="111">
        <v>141</v>
      </c>
      <c r="B189" t="s" s="112">
        <v>196</v>
      </c>
      <c r="C189" t="s" s="113">
        <v>197</v>
      </c>
      <c r="D189" t="s" s="113">
        <v>198</v>
      </c>
      <c r="E189" t="s" s="105">
        <v>189</v>
      </c>
      <c r="F189" s="107"/>
      <c r="G189" s="107"/>
      <c r="H189" s="107"/>
      <c r="I189" s="107"/>
      <c r="J189" s="107"/>
      <c r="K189" s="107"/>
    </row>
    <row r="190" ht="20.35" customHeight="1">
      <c r="A190" t="s" s="111">
        <v>119</v>
      </c>
      <c r="B190" t="s" s="112">
        <v>199</v>
      </c>
      <c r="C190" t="s" s="113">
        <v>200</v>
      </c>
      <c r="D190" t="s" s="113">
        <v>201</v>
      </c>
      <c r="E190" t="s" s="105">
        <v>189</v>
      </c>
      <c r="F190" s="107"/>
      <c r="G190" s="107"/>
      <c r="H190" s="107"/>
      <c r="I190" s="107"/>
      <c r="J190" s="107"/>
      <c r="K190" s="107"/>
    </row>
    <row r="191" ht="28.35" customHeight="1">
      <c r="A191" t="s" s="111">
        <v>126</v>
      </c>
      <c r="B191" t="s" s="112">
        <v>202</v>
      </c>
      <c r="C191" t="s" s="114">
        <v>203</v>
      </c>
      <c r="D191" t="s" s="114">
        <v>204</v>
      </c>
      <c r="E191" t="s" s="105">
        <v>205</v>
      </c>
      <c r="F191" s="107"/>
      <c r="G191" s="107"/>
      <c r="H191" s="107"/>
      <c r="I191" s="107"/>
      <c r="J191" s="107"/>
      <c r="K191" s="107"/>
    </row>
    <row r="192" ht="20.35" customHeight="1">
      <c r="A192" t="s" s="111">
        <v>137</v>
      </c>
      <c r="B192" t="s" s="112">
        <v>206</v>
      </c>
      <c r="C192" t="s" s="113">
        <v>207</v>
      </c>
      <c r="D192" t="s" s="113">
        <v>208</v>
      </c>
      <c r="E192" t="s" s="105">
        <v>205</v>
      </c>
      <c r="F192" s="107"/>
      <c r="G192" s="107"/>
      <c r="H192" s="107"/>
      <c r="I192" s="107"/>
      <c r="J192" s="107"/>
      <c r="K192" s="107"/>
    </row>
    <row r="193" ht="20.35" customHeight="1">
      <c r="A193" t="s" s="111">
        <v>141</v>
      </c>
      <c r="B193" t="s" s="112">
        <v>209</v>
      </c>
      <c r="C193" t="s" s="113">
        <v>210</v>
      </c>
      <c r="D193" t="s" s="113">
        <v>211</v>
      </c>
      <c r="E193" t="s" s="105">
        <v>205</v>
      </c>
      <c r="F193" s="107"/>
      <c r="G193" s="107"/>
      <c r="H193" s="107"/>
      <c r="I193" s="107"/>
      <c r="J193" s="107"/>
      <c r="K193" s="107"/>
    </row>
    <row r="194" ht="20.35" customHeight="1">
      <c r="A194" t="s" s="111">
        <v>84</v>
      </c>
      <c r="B194" t="s" s="112">
        <v>212</v>
      </c>
      <c r="C194" t="s" s="113">
        <v>213</v>
      </c>
      <c r="D194" t="s" s="113">
        <v>214</v>
      </c>
      <c r="E194" t="s" s="105">
        <v>189</v>
      </c>
      <c r="F194" s="107"/>
      <c r="G194" s="107"/>
      <c r="H194" s="107"/>
      <c r="I194" s="107"/>
      <c r="J194" s="107"/>
      <c r="K194" s="107"/>
    </row>
    <row r="195" ht="28.35" customHeight="1">
      <c r="A195" t="s" s="111">
        <v>126</v>
      </c>
      <c r="B195" t="s" s="112">
        <v>215</v>
      </c>
      <c r="C195" t="s" s="113">
        <v>216</v>
      </c>
      <c r="D195" t="s" s="113">
        <v>217</v>
      </c>
      <c r="E195" t="s" s="105">
        <v>189</v>
      </c>
      <c r="F195" s="107"/>
      <c r="G195" s="107"/>
      <c r="H195" s="107"/>
      <c r="I195" s="107"/>
      <c r="J195" s="107"/>
      <c r="K195" s="107"/>
    </row>
    <row r="196" ht="20.35" customHeight="1">
      <c r="A196" t="s" s="111">
        <v>137</v>
      </c>
      <c r="B196" t="s" s="112">
        <v>218</v>
      </c>
      <c r="C196" t="s" s="113">
        <v>219</v>
      </c>
      <c r="D196" t="s" s="113">
        <v>220</v>
      </c>
      <c r="E196" t="s" s="105">
        <v>221</v>
      </c>
      <c r="F196" s="107"/>
      <c r="G196" s="107"/>
      <c r="H196" s="107"/>
      <c r="I196" s="107"/>
      <c r="J196" s="107"/>
      <c r="K196" s="107"/>
    </row>
    <row r="197" ht="20.35" customHeight="1">
      <c r="A197" t="s" s="111">
        <v>141</v>
      </c>
      <c r="B197" t="s" s="112">
        <v>222</v>
      </c>
      <c r="C197" t="s" s="113">
        <v>223</v>
      </c>
      <c r="D197" t="s" s="113">
        <v>224</v>
      </c>
      <c r="E197" t="s" s="105">
        <v>221</v>
      </c>
      <c r="F197" s="107"/>
      <c r="G197" s="107"/>
      <c r="H197" s="107"/>
      <c r="I197" s="107"/>
      <c r="J197" s="107"/>
      <c r="K197" s="107"/>
    </row>
    <row r="198" ht="20.35" customHeight="1">
      <c r="A198" t="s" s="111">
        <v>126</v>
      </c>
      <c r="B198" t="s" s="112">
        <v>225</v>
      </c>
      <c r="C198" t="s" s="113">
        <v>226</v>
      </c>
      <c r="D198" t="s" s="113">
        <v>227</v>
      </c>
      <c r="E198" t="s" s="105">
        <v>228</v>
      </c>
      <c r="F198" s="107"/>
      <c r="G198" s="107"/>
      <c r="H198" s="107"/>
      <c r="I198" s="107"/>
      <c r="J198" s="107"/>
      <c r="K198" s="107"/>
    </row>
    <row r="199" ht="20.35" customHeight="1">
      <c r="A199" t="s" s="111">
        <v>137</v>
      </c>
      <c r="B199" t="s" s="112">
        <v>229</v>
      </c>
      <c r="C199" t="s" s="113">
        <v>230</v>
      </c>
      <c r="D199" t="s" s="113">
        <v>231</v>
      </c>
      <c r="E199" t="s" s="105">
        <v>228</v>
      </c>
      <c r="F199" s="107"/>
      <c r="G199" s="107"/>
      <c r="H199" s="107"/>
      <c r="I199" s="107"/>
      <c r="J199" s="107"/>
      <c r="K199" s="107"/>
    </row>
    <row r="200" ht="20.35" customHeight="1">
      <c r="A200" t="s" s="111">
        <v>141</v>
      </c>
      <c r="B200" t="s" s="112">
        <v>232</v>
      </c>
      <c r="C200" t="s" s="113">
        <v>233</v>
      </c>
      <c r="D200" t="s" s="113">
        <v>234</v>
      </c>
      <c r="E200" t="s" s="105">
        <v>228</v>
      </c>
      <c r="F200" s="107"/>
      <c r="G200" s="107"/>
      <c r="H200" s="107"/>
      <c r="I200" s="107"/>
      <c r="J200" s="107"/>
      <c r="K200" s="107"/>
    </row>
    <row r="201" ht="20.35" customHeight="1">
      <c r="A201" t="s" s="111">
        <v>145</v>
      </c>
      <c r="B201" t="s" s="112">
        <v>235</v>
      </c>
      <c r="C201" t="s" s="113">
        <v>233</v>
      </c>
      <c r="D201" t="s" s="113">
        <v>234</v>
      </c>
      <c r="E201" t="s" s="105">
        <v>228</v>
      </c>
      <c r="F201" s="107"/>
      <c r="G201" s="107"/>
      <c r="H201" s="107"/>
      <c r="I201" s="107"/>
      <c r="J201" s="107"/>
      <c r="K201" s="107"/>
    </row>
    <row r="202" ht="20.35" customHeight="1">
      <c r="A202" t="s" s="111">
        <v>119</v>
      </c>
      <c r="B202" t="s" s="112">
        <v>236</v>
      </c>
      <c r="C202" t="s" s="113">
        <v>237</v>
      </c>
      <c r="D202" t="s" s="113">
        <v>238</v>
      </c>
      <c r="E202" t="s" s="105">
        <v>221</v>
      </c>
      <c r="F202" s="107"/>
      <c r="G202" s="107"/>
      <c r="H202" s="107"/>
      <c r="I202" s="107"/>
      <c r="J202" s="107"/>
      <c r="K202" s="107"/>
    </row>
    <row r="203" ht="20.35" customHeight="1">
      <c r="A203" t="s" s="111">
        <v>126</v>
      </c>
      <c r="B203" t="s" s="112">
        <v>239</v>
      </c>
      <c r="C203" t="s" s="113">
        <v>240</v>
      </c>
      <c r="D203" t="s" s="113">
        <v>241</v>
      </c>
      <c r="E203" t="s" s="105">
        <v>221</v>
      </c>
      <c r="F203" s="107"/>
      <c r="G203" s="107"/>
      <c r="H203" s="107"/>
      <c r="I203" s="107"/>
      <c r="J203" s="107"/>
      <c r="K203" s="107"/>
    </row>
    <row r="204" ht="20.35" customHeight="1">
      <c r="A204" t="s" s="111">
        <v>137</v>
      </c>
      <c r="B204" t="s" s="112">
        <v>242</v>
      </c>
      <c r="C204" t="s" s="113">
        <v>243</v>
      </c>
      <c r="D204" t="s" s="113">
        <v>244</v>
      </c>
      <c r="E204" t="s" s="105">
        <v>221</v>
      </c>
      <c r="F204" s="107"/>
      <c r="G204" s="107"/>
      <c r="H204" s="107"/>
      <c r="I204" s="107"/>
      <c r="J204" s="107"/>
      <c r="K204" s="107"/>
    </row>
    <row r="205" ht="28.35" customHeight="1">
      <c r="A205" t="s" s="111">
        <v>141</v>
      </c>
      <c r="B205" t="s" s="112">
        <v>245</v>
      </c>
      <c r="C205" t="s" s="113">
        <v>246</v>
      </c>
      <c r="D205" t="s" s="113">
        <v>247</v>
      </c>
      <c r="E205" t="s" s="105">
        <v>221</v>
      </c>
      <c r="F205" s="107"/>
      <c r="G205" s="107"/>
      <c r="H205" s="107"/>
      <c r="I205" s="107"/>
      <c r="J205" s="107"/>
      <c r="K205" s="107"/>
    </row>
    <row r="206" ht="20.35" customHeight="1">
      <c r="A206" t="s" s="111">
        <v>145</v>
      </c>
      <c r="B206" t="s" s="112">
        <v>248</v>
      </c>
      <c r="C206" t="s" s="113">
        <v>249</v>
      </c>
      <c r="D206" t="s" s="113">
        <v>250</v>
      </c>
      <c r="E206" t="s" s="105">
        <v>221</v>
      </c>
      <c r="F206" s="107"/>
      <c r="G206" s="107"/>
      <c r="H206" s="107"/>
      <c r="I206" s="107"/>
      <c r="J206" s="107"/>
      <c r="K206" s="107"/>
    </row>
    <row r="207" ht="28.35" customHeight="1">
      <c r="A207" t="s" s="111">
        <v>141</v>
      </c>
      <c r="B207" t="s" s="112">
        <v>251</v>
      </c>
      <c r="C207" t="s" s="115">
        <v>252</v>
      </c>
      <c r="D207" t="s" s="115">
        <v>253</v>
      </c>
      <c r="E207" t="s" s="105">
        <v>164</v>
      </c>
      <c r="F207" s="107"/>
      <c r="G207" s="107"/>
      <c r="H207" s="107"/>
      <c r="I207" s="107"/>
      <c r="J207" s="107"/>
      <c r="K207" s="107"/>
    </row>
    <row r="208" ht="40.35" customHeight="1">
      <c r="A208" t="s" s="111">
        <v>137</v>
      </c>
      <c r="B208" t="s" s="112">
        <v>254</v>
      </c>
      <c r="C208" t="s" s="116">
        <v>255</v>
      </c>
      <c r="D208" t="s" s="116">
        <v>256</v>
      </c>
      <c r="E208" t="s" s="105">
        <v>154</v>
      </c>
      <c r="F208" s="107"/>
      <c r="G208" s="107"/>
      <c r="H208" s="107"/>
      <c r="I208" s="107"/>
      <c r="J208" s="107"/>
      <c r="K208" s="107"/>
    </row>
    <row r="209" ht="28.35" customHeight="1">
      <c r="A209" t="s" s="111">
        <v>141</v>
      </c>
      <c r="B209" t="s" s="112">
        <v>257</v>
      </c>
      <c r="C209" t="s" s="116">
        <v>258</v>
      </c>
      <c r="D209" t="s" s="116">
        <v>259</v>
      </c>
      <c r="E209" t="s" s="105">
        <v>154</v>
      </c>
      <c r="F209" s="107"/>
      <c r="G209" s="107"/>
      <c r="H209" s="107"/>
      <c r="I209" s="107"/>
      <c r="J209" s="107"/>
      <c r="K209" s="107"/>
    </row>
    <row r="210" ht="20.35" customHeight="1">
      <c r="A210" t="s" s="111">
        <v>119</v>
      </c>
      <c r="B210" t="s" s="112">
        <v>260</v>
      </c>
      <c r="C210" t="s" s="116">
        <v>261</v>
      </c>
      <c r="D210" t="s" s="116">
        <v>262</v>
      </c>
      <c r="E210" t="s" s="105">
        <v>221</v>
      </c>
      <c r="F210" s="107"/>
      <c r="G210" s="107"/>
      <c r="H210" s="107"/>
      <c r="I210" s="107"/>
      <c r="J210" s="107"/>
      <c r="K210" s="107"/>
    </row>
    <row r="211" ht="20.35" customHeight="1">
      <c r="A211" t="s" s="111">
        <v>126</v>
      </c>
      <c r="B211" t="s" s="112">
        <v>263</v>
      </c>
      <c r="C211" t="s" s="117">
        <v>264</v>
      </c>
      <c r="D211" t="s" s="116">
        <v>265</v>
      </c>
      <c r="E211" t="s" s="105">
        <v>164</v>
      </c>
      <c r="F211" s="107"/>
      <c r="G211" s="107"/>
      <c r="H211" s="107"/>
      <c r="I211" s="107"/>
      <c r="J211" s="107"/>
      <c r="K211" s="107"/>
    </row>
    <row r="212" ht="20.35" customHeight="1">
      <c r="A212" t="s" s="111">
        <v>137</v>
      </c>
      <c r="B212" t="s" s="112">
        <v>266</v>
      </c>
      <c r="C212" t="s" s="116">
        <v>267</v>
      </c>
      <c r="D212" t="s" s="116">
        <v>268</v>
      </c>
      <c r="E212" t="s" s="105">
        <v>164</v>
      </c>
      <c r="F212" s="107"/>
      <c r="G212" s="107"/>
      <c r="H212" s="107"/>
      <c r="I212" s="107"/>
      <c r="J212" s="107"/>
      <c r="K212" s="107"/>
    </row>
    <row r="213" ht="28.35" customHeight="1">
      <c r="A213" t="s" s="111">
        <v>141</v>
      </c>
      <c r="B213" t="s" s="112">
        <v>269</v>
      </c>
      <c r="C213" t="s" s="117">
        <v>270</v>
      </c>
      <c r="D213" t="s" s="116">
        <v>271</v>
      </c>
      <c r="E213" t="s" s="105">
        <v>164</v>
      </c>
      <c r="F213" s="107"/>
      <c r="G213" s="107"/>
      <c r="H213" s="107"/>
      <c r="I213" s="107"/>
      <c r="J213" s="107"/>
      <c r="K213" s="107"/>
    </row>
    <row r="214" ht="20.35" customHeight="1">
      <c r="A214" t="s" s="111">
        <v>137</v>
      </c>
      <c r="B214" t="s" s="112">
        <v>272</v>
      </c>
      <c r="C214" t="s" s="116">
        <v>273</v>
      </c>
      <c r="D214" t="s" s="116">
        <v>274</v>
      </c>
      <c r="E214" t="s" s="105">
        <v>189</v>
      </c>
      <c r="F214" s="107"/>
      <c r="G214" s="107"/>
      <c r="H214" s="107"/>
      <c r="I214" s="107"/>
      <c r="J214" s="107"/>
      <c r="K214" s="107"/>
    </row>
    <row r="215" ht="20.35" customHeight="1">
      <c r="A215" t="s" s="111">
        <v>141</v>
      </c>
      <c r="B215" t="s" s="112">
        <v>275</v>
      </c>
      <c r="C215" t="s" s="116">
        <v>276</v>
      </c>
      <c r="D215" t="s" s="116">
        <v>277</v>
      </c>
      <c r="E215" t="s" s="105">
        <v>205</v>
      </c>
      <c r="F215" s="107"/>
      <c r="G215" s="107"/>
      <c r="H215" s="107"/>
      <c r="I215" s="107"/>
      <c r="J215" s="107"/>
      <c r="K215" s="107"/>
    </row>
    <row r="216" ht="20.35" customHeight="1">
      <c r="A216" t="s" s="111">
        <v>145</v>
      </c>
      <c r="B216" t="s" s="112">
        <v>278</v>
      </c>
      <c r="C216" t="s" s="116">
        <v>279</v>
      </c>
      <c r="D216" t="s" s="116">
        <v>211</v>
      </c>
      <c r="E216" t="s" s="105">
        <v>205</v>
      </c>
      <c r="F216" s="107"/>
      <c r="G216" s="107"/>
      <c r="H216" s="107"/>
      <c r="I216" s="107"/>
      <c r="J216" s="107"/>
      <c r="K216" s="107"/>
    </row>
    <row r="217" ht="20.35" customHeight="1">
      <c r="A217" t="s" s="111">
        <v>84</v>
      </c>
      <c r="B217" t="s" s="112">
        <v>280</v>
      </c>
      <c r="C217" t="s" s="117">
        <v>281</v>
      </c>
      <c r="D217" t="s" s="116">
        <v>282</v>
      </c>
      <c r="E217" t="s" s="105">
        <v>221</v>
      </c>
      <c r="F217" s="107"/>
      <c r="G217" s="107"/>
      <c r="H217" s="107"/>
      <c r="I217" s="107"/>
      <c r="J217" s="107"/>
      <c r="K217" s="107"/>
    </row>
    <row r="218" ht="20.35" customHeight="1">
      <c r="A218" t="s" s="111">
        <v>119</v>
      </c>
      <c r="B218" t="s" s="112">
        <v>283</v>
      </c>
      <c r="C218" t="s" s="117">
        <v>284</v>
      </c>
      <c r="D218" t="s" s="116">
        <v>285</v>
      </c>
      <c r="E218" t="s" s="105">
        <v>164</v>
      </c>
      <c r="F218" s="107"/>
      <c r="G218" s="107"/>
      <c r="H218" s="107"/>
      <c r="I218" s="107"/>
      <c r="J218" s="107"/>
      <c r="K218" s="107"/>
    </row>
    <row r="219" ht="20.35" customHeight="1">
      <c r="A219" t="s" s="111">
        <v>126</v>
      </c>
      <c r="B219" t="s" s="112">
        <v>286</v>
      </c>
      <c r="C219" t="s" s="117">
        <v>287</v>
      </c>
      <c r="D219" t="s" s="116">
        <v>288</v>
      </c>
      <c r="E219" t="s" s="105">
        <v>164</v>
      </c>
      <c r="F219" s="107"/>
      <c r="G219" s="107"/>
      <c r="H219" s="107"/>
      <c r="I219" s="107"/>
      <c r="J219" s="107"/>
      <c r="K219" s="107"/>
    </row>
    <row r="220" ht="20.35" customHeight="1">
      <c r="A220" t="s" s="111">
        <v>137</v>
      </c>
      <c r="B220" t="s" s="112">
        <v>289</v>
      </c>
      <c r="C220" t="s" s="117">
        <v>290</v>
      </c>
      <c r="D220" t="s" s="116">
        <v>291</v>
      </c>
      <c r="E220" t="s" s="105">
        <v>164</v>
      </c>
      <c r="F220" s="107"/>
      <c r="G220" s="107"/>
      <c r="H220" s="107"/>
      <c r="I220" s="107"/>
      <c r="J220" s="107"/>
      <c r="K220" s="107"/>
    </row>
    <row r="221" ht="20.35" customHeight="1">
      <c r="A221" t="s" s="111">
        <v>141</v>
      </c>
      <c r="B221" t="s" s="112">
        <v>292</v>
      </c>
      <c r="C221" t="s" s="116">
        <v>293</v>
      </c>
      <c r="D221" t="s" s="116">
        <v>294</v>
      </c>
      <c r="E221" t="s" s="105">
        <v>164</v>
      </c>
      <c r="F221" s="107"/>
      <c r="G221" s="107"/>
      <c r="H221" s="107"/>
      <c r="I221" s="107"/>
      <c r="J221" s="107"/>
      <c r="K221" s="107"/>
    </row>
    <row r="222" ht="28.35" customHeight="1">
      <c r="A222" t="s" s="111">
        <v>126</v>
      </c>
      <c r="B222" t="s" s="112">
        <v>295</v>
      </c>
      <c r="C222" t="s" s="116">
        <v>296</v>
      </c>
      <c r="D222" t="s" s="118">
        <v>297</v>
      </c>
      <c r="E222" t="s" s="105">
        <v>298</v>
      </c>
      <c r="F222" s="107"/>
      <c r="G222" s="107"/>
      <c r="H222" s="107"/>
      <c r="I222" s="107"/>
      <c r="J222" s="107"/>
      <c r="K222" s="107"/>
    </row>
    <row r="223" ht="20.35" customHeight="1">
      <c r="A223" t="s" s="111">
        <v>137</v>
      </c>
      <c r="B223" t="s" s="112">
        <v>299</v>
      </c>
      <c r="C223" t="s" s="116">
        <v>300</v>
      </c>
      <c r="D223" t="s" s="118">
        <v>301</v>
      </c>
      <c r="E223" t="s" s="105">
        <v>302</v>
      </c>
      <c r="F223" s="107"/>
      <c r="G223" s="107"/>
      <c r="H223" s="107"/>
      <c r="I223" s="107"/>
      <c r="J223" s="107"/>
      <c r="K223" s="107"/>
    </row>
    <row r="224" ht="20.35" customHeight="1">
      <c r="A224" t="s" s="111">
        <v>141</v>
      </c>
      <c r="B224" t="s" s="112">
        <v>303</v>
      </c>
      <c r="C224" t="s" s="116">
        <v>304</v>
      </c>
      <c r="D224" t="s" s="118">
        <v>305</v>
      </c>
      <c r="E224" t="s" s="105">
        <v>302</v>
      </c>
      <c r="F224" s="107"/>
      <c r="G224" s="107"/>
      <c r="H224" s="107"/>
      <c r="I224" s="107"/>
      <c r="J224" s="107"/>
      <c r="K224" s="107"/>
    </row>
  </sheetData>
  <mergeCells count="1">
    <mergeCell ref="A1:K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2:J5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119" customWidth="1"/>
    <col min="5" max="5" width="11.0781" style="119" customWidth="1"/>
    <col min="6" max="6" width="11.8359" style="119" customWidth="1"/>
    <col min="7" max="7" width="16.3516" style="119" customWidth="1"/>
    <col min="8" max="8" width="11.8359" style="119" customWidth="1"/>
    <col min="9" max="10" width="23.3359" style="119" customWidth="1"/>
    <col min="11" max="16384" width="16.3516" style="119" customWidth="1"/>
  </cols>
  <sheetData>
    <row r="1" ht="27.65" customHeight="1">
      <c r="A1" t="s" s="7">
        <v>72</v>
      </c>
      <c r="B1" s="7"/>
      <c r="C1" s="7"/>
      <c r="D1" s="7"/>
      <c r="E1" s="7"/>
      <c r="F1" s="7"/>
      <c r="G1" s="7"/>
      <c r="H1" s="7"/>
      <c r="I1" s="7"/>
      <c r="J1" s="7"/>
    </row>
    <row r="2" ht="32.55" customHeight="1">
      <c r="A2" t="s" s="96">
        <v>74</v>
      </c>
      <c r="B2" t="s" s="96">
        <v>75</v>
      </c>
      <c r="C2" t="s" s="96">
        <v>76</v>
      </c>
      <c r="D2" t="s" s="96">
        <v>77</v>
      </c>
      <c r="E2" t="s" s="96">
        <v>308</v>
      </c>
      <c r="F2" t="s" s="96">
        <v>309</v>
      </c>
      <c r="G2" t="s" s="96">
        <v>310</v>
      </c>
      <c r="H2" t="s" s="96">
        <v>311</v>
      </c>
      <c r="I2" t="s" s="96">
        <v>312</v>
      </c>
      <c r="J2" t="s" s="96">
        <v>313</v>
      </c>
    </row>
    <row r="3" ht="20.55" customHeight="1">
      <c r="A3" t="s" s="99">
        <v>84</v>
      </c>
      <c r="B3" t="s" s="100">
        <v>85</v>
      </c>
      <c r="C3" t="s" s="101">
        <v>86</v>
      </c>
      <c r="D3" t="s" s="101">
        <v>87</v>
      </c>
      <c r="E3" t="s" s="102">
        <v>88</v>
      </c>
      <c r="F3" s="120">
        <v>700</v>
      </c>
      <c r="G3" s="121">
        <v>2500</v>
      </c>
      <c r="H3" s="121" cm="1">
        <f t="array" ref="H3">G3/F3</f>
        <v>3.57142857142857</v>
      </c>
      <c r="I3" t="s" s="102">
        <v>108</v>
      </c>
      <c r="J3" s="103"/>
    </row>
    <row r="4" ht="20.35" customHeight="1">
      <c r="A4" t="s" s="111">
        <v>119</v>
      </c>
      <c r="B4" t="s" s="112">
        <v>120</v>
      </c>
      <c r="C4" t="s" s="113">
        <v>121</v>
      </c>
      <c r="D4" t="s" s="113">
        <v>122</v>
      </c>
      <c r="E4" t="s" s="105">
        <v>88</v>
      </c>
      <c r="F4" s="107"/>
      <c r="G4" s="107"/>
      <c r="H4" s="107"/>
      <c r="I4" s="107"/>
      <c r="J4" s="107"/>
    </row>
    <row r="5" ht="20.35" customHeight="1">
      <c r="A5" t="s" s="111">
        <v>126</v>
      </c>
      <c r="B5" t="s" s="112">
        <v>127</v>
      </c>
      <c r="C5" t="s" s="113">
        <v>128</v>
      </c>
      <c r="D5" t="s" s="113">
        <v>129</v>
      </c>
      <c r="E5" t="s" s="105">
        <v>88</v>
      </c>
      <c r="F5" s="107"/>
      <c r="G5" s="107"/>
      <c r="H5" s="107"/>
      <c r="I5" s="107"/>
      <c r="J5" s="107"/>
    </row>
    <row r="6" ht="20.35" customHeight="1">
      <c r="A6" t="s" s="111">
        <v>137</v>
      </c>
      <c r="B6" t="s" s="112">
        <v>138</v>
      </c>
      <c r="C6" t="s" s="113">
        <v>139</v>
      </c>
      <c r="D6" t="s" s="113">
        <v>140</v>
      </c>
      <c r="E6" t="s" s="105">
        <v>88</v>
      </c>
      <c r="F6" s="107"/>
      <c r="G6" s="107"/>
      <c r="H6" s="107"/>
      <c r="I6" s="107"/>
      <c r="J6" s="107"/>
    </row>
    <row r="7" ht="20.35" customHeight="1">
      <c r="A7" t="s" s="111">
        <v>141</v>
      </c>
      <c r="B7" t="s" s="112">
        <v>142</v>
      </c>
      <c r="C7" t="s" s="113">
        <v>143</v>
      </c>
      <c r="D7" t="s" s="113">
        <v>144</v>
      </c>
      <c r="E7" t="s" s="105">
        <v>88</v>
      </c>
      <c r="F7" s="107"/>
      <c r="G7" s="107"/>
      <c r="H7" s="107"/>
      <c r="I7" s="107"/>
      <c r="J7" s="107"/>
    </row>
    <row r="8" ht="20.35" customHeight="1">
      <c r="A8" t="s" s="111">
        <v>145</v>
      </c>
      <c r="B8" t="s" s="112">
        <v>146</v>
      </c>
      <c r="C8" t="s" s="113">
        <v>147</v>
      </c>
      <c r="D8" t="s" s="113">
        <v>148</v>
      </c>
      <c r="E8" t="s" s="105">
        <v>88</v>
      </c>
      <c r="F8" s="107"/>
      <c r="G8" s="107"/>
      <c r="H8" s="107"/>
      <c r="I8" s="107"/>
      <c r="J8" s="107"/>
    </row>
    <row r="9" ht="20.35" customHeight="1">
      <c r="A9" t="s" s="111">
        <v>119</v>
      </c>
      <c r="B9" t="s" s="112">
        <v>149</v>
      </c>
      <c r="C9" t="s" s="113">
        <v>150</v>
      </c>
      <c r="D9" t="s" s="113">
        <v>144</v>
      </c>
      <c r="E9" t="s" s="105">
        <v>88</v>
      </c>
      <c r="F9" s="107"/>
      <c r="G9" s="107"/>
      <c r="H9" s="107"/>
      <c r="I9" s="107"/>
      <c r="J9" s="107"/>
    </row>
    <row r="10" ht="20.35" customHeight="1">
      <c r="A10" t="s" s="111">
        <v>126</v>
      </c>
      <c r="B10" t="s" s="112">
        <v>151</v>
      </c>
      <c r="C10" t="s" s="113">
        <v>152</v>
      </c>
      <c r="D10" t="s" s="113">
        <v>153</v>
      </c>
      <c r="E10" t="s" s="105">
        <v>154</v>
      </c>
      <c r="F10" s="107"/>
      <c r="G10" s="107"/>
      <c r="H10" s="107"/>
      <c r="I10" s="107"/>
      <c r="J10" s="107"/>
    </row>
    <row r="11" ht="20.35" customHeight="1">
      <c r="A11" t="s" s="111">
        <v>137</v>
      </c>
      <c r="B11" t="s" s="112">
        <v>155</v>
      </c>
      <c r="C11" t="s" s="113">
        <v>156</v>
      </c>
      <c r="D11" t="s" s="113">
        <v>157</v>
      </c>
      <c r="E11" t="s" s="105">
        <v>88</v>
      </c>
      <c r="F11" s="107"/>
      <c r="G11" s="107"/>
      <c r="H11" s="107"/>
      <c r="I11" s="107"/>
      <c r="J11" s="107"/>
    </row>
    <row r="12" ht="20.35" customHeight="1">
      <c r="A12" t="s" s="111">
        <v>141</v>
      </c>
      <c r="B12" t="s" s="112">
        <v>158</v>
      </c>
      <c r="C12" t="s" s="113">
        <v>159</v>
      </c>
      <c r="D12" t="s" s="113">
        <v>160</v>
      </c>
      <c r="E12" t="s" s="105">
        <v>88</v>
      </c>
      <c r="F12" s="107"/>
      <c r="G12" s="107"/>
      <c r="H12" s="107"/>
      <c r="I12" s="107"/>
      <c r="J12" s="107"/>
    </row>
    <row r="13" ht="20.35" customHeight="1">
      <c r="A13" t="s" s="111">
        <v>145</v>
      </c>
      <c r="B13" t="s" s="112">
        <v>161</v>
      </c>
      <c r="C13" t="s" s="113">
        <v>162</v>
      </c>
      <c r="D13" t="s" s="113">
        <v>163</v>
      </c>
      <c r="E13" t="s" s="105">
        <v>164</v>
      </c>
      <c r="F13" s="107"/>
      <c r="G13" s="107"/>
      <c r="H13" s="107"/>
      <c r="I13" s="107"/>
      <c r="J13" s="107"/>
    </row>
    <row r="14" ht="20.35" customHeight="1">
      <c r="A14" t="s" s="111">
        <v>137</v>
      </c>
      <c r="B14" t="s" s="112">
        <v>165</v>
      </c>
      <c r="C14" t="s" s="113">
        <v>166</v>
      </c>
      <c r="D14" t="s" s="113">
        <v>167</v>
      </c>
      <c r="E14" t="s" s="105">
        <v>154</v>
      </c>
      <c r="F14" s="107"/>
      <c r="G14" s="107"/>
      <c r="H14" s="107"/>
      <c r="I14" s="107"/>
      <c r="J14" s="107"/>
    </row>
    <row r="15" ht="20.35" customHeight="1">
      <c r="A15" t="s" s="111">
        <v>141</v>
      </c>
      <c r="B15" t="s" s="112">
        <v>168</v>
      </c>
      <c r="C15" t="s" s="113">
        <v>169</v>
      </c>
      <c r="D15" t="s" s="113">
        <v>170</v>
      </c>
      <c r="E15" t="s" s="105">
        <v>154</v>
      </c>
      <c r="F15" s="107"/>
      <c r="G15" s="107"/>
      <c r="H15" s="107"/>
      <c r="I15" s="107"/>
      <c r="J15" s="107"/>
    </row>
    <row r="16" ht="20.35" customHeight="1">
      <c r="A16" t="s" s="111">
        <v>84</v>
      </c>
      <c r="B16" t="s" s="112">
        <v>171</v>
      </c>
      <c r="C16" t="s" s="113">
        <v>172</v>
      </c>
      <c r="D16" t="s" s="113">
        <v>173</v>
      </c>
      <c r="E16" t="s" s="105">
        <v>154</v>
      </c>
      <c r="F16" s="107"/>
      <c r="G16" s="107"/>
      <c r="H16" s="107"/>
      <c r="I16" s="107"/>
      <c r="J16" s="107"/>
    </row>
    <row r="17" ht="20.35" customHeight="1">
      <c r="A17" t="s" s="111">
        <v>119</v>
      </c>
      <c r="B17" t="s" s="112">
        <v>174</v>
      </c>
      <c r="C17" t="s" s="113">
        <v>175</v>
      </c>
      <c r="D17" t="s" s="113">
        <v>176</v>
      </c>
      <c r="E17" t="s" s="105">
        <v>164</v>
      </c>
      <c r="F17" s="107"/>
      <c r="G17" s="107"/>
      <c r="H17" s="107"/>
      <c r="I17" s="107"/>
      <c r="J17" s="107"/>
    </row>
    <row r="18" ht="20.35" customHeight="1">
      <c r="A18" t="s" s="111">
        <v>126</v>
      </c>
      <c r="B18" t="s" s="112">
        <v>177</v>
      </c>
      <c r="C18" t="s" s="113">
        <v>178</v>
      </c>
      <c r="D18" t="s" s="113">
        <v>179</v>
      </c>
      <c r="E18" t="s" s="105">
        <v>164</v>
      </c>
      <c r="F18" s="107"/>
      <c r="G18" s="107"/>
      <c r="H18" s="107"/>
      <c r="I18" s="107"/>
      <c r="J18" s="107"/>
    </row>
    <row r="19" ht="20.35" customHeight="1">
      <c r="A19" t="s" s="111">
        <v>141</v>
      </c>
      <c r="B19" t="s" s="112">
        <v>180</v>
      </c>
      <c r="C19" t="s" s="113">
        <v>181</v>
      </c>
      <c r="D19" t="s" s="113">
        <v>182</v>
      </c>
      <c r="E19" t="s" s="105">
        <v>164</v>
      </c>
      <c r="F19" s="107"/>
      <c r="G19" s="107"/>
      <c r="H19" s="107"/>
      <c r="I19" s="107"/>
      <c r="J19" s="107"/>
    </row>
    <row r="20" ht="20.35" customHeight="1">
      <c r="A20" t="s" s="111">
        <v>145</v>
      </c>
      <c r="B20" t="s" s="112">
        <v>183</v>
      </c>
      <c r="C20" t="s" s="113">
        <v>184</v>
      </c>
      <c r="D20" t="s" s="113">
        <v>185</v>
      </c>
      <c r="E20" t="s" s="105">
        <v>164</v>
      </c>
      <c r="F20" s="107"/>
      <c r="G20" s="107"/>
      <c r="H20" s="107"/>
      <c r="I20" s="107"/>
      <c r="J20" s="107"/>
    </row>
    <row r="21" ht="20.35" customHeight="1">
      <c r="A21" t="s" s="111">
        <v>119</v>
      </c>
      <c r="B21" t="s" s="112">
        <v>186</v>
      </c>
      <c r="C21" t="s" s="113">
        <v>187</v>
      </c>
      <c r="D21" t="s" s="113">
        <v>188</v>
      </c>
      <c r="E21" t="s" s="105">
        <v>189</v>
      </c>
      <c r="F21" s="107"/>
      <c r="G21" s="107"/>
      <c r="H21" s="107"/>
      <c r="I21" s="107"/>
      <c r="J21" s="107"/>
    </row>
    <row r="22" ht="20.35" customHeight="1">
      <c r="A22" t="s" s="111">
        <v>126</v>
      </c>
      <c r="B22" t="s" s="112">
        <v>190</v>
      </c>
      <c r="C22" t="s" s="113">
        <v>191</v>
      </c>
      <c r="D22" t="s" s="113">
        <v>192</v>
      </c>
      <c r="E22" t="s" s="105">
        <v>189</v>
      </c>
      <c r="F22" s="107"/>
      <c r="G22" s="107"/>
      <c r="H22" s="107"/>
      <c r="I22" s="107"/>
      <c r="J22" s="107"/>
    </row>
    <row r="23" ht="20.35" customHeight="1">
      <c r="A23" t="s" s="111">
        <v>137</v>
      </c>
      <c r="B23" t="s" s="112">
        <v>193</v>
      </c>
      <c r="C23" t="s" s="113">
        <v>194</v>
      </c>
      <c r="D23" t="s" s="113">
        <v>195</v>
      </c>
      <c r="E23" t="s" s="105">
        <v>189</v>
      </c>
      <c r="F23" s="107"/>
      <c r="G23" s="107"/>
      <c r="H23" s="107"/>
      <c r="I23" s="107"/>
      <c r="J23" s="107"/>
    </row>
    <row r="24" ht="20.35" customHeight="1">
      <c r="A24" t="s" s="111">
        <v>141</v>
      </c>
      <c r="B24" t="s" s="112">
        <v>196</v>
      </c>
      <c r="C24" t="s" s="113">
        <v>197</v>
      </c>
      <c r="D24" t="s" s="113">
        <v>198</v>
      </c>
      <c r="E24" t="s" s="105">
        <v>189</v>
      </c>
      <c r="F24" s="107"/>
      <c r="G24" s="107"/>
      <c r="H24" s="107"/>
      <c r="I24" s="107"/>
      <c r="J24" s="107"/>
    </row>
    <row r="25" ht="20.35" customHeight="1">
      <c r="A25" t="s" s="111">
        <v>119</v>
      </c>
      <c r="B25" t="s" s="112">
        <v>199</v>
      </c>
      <c r="C25" t="s" s="113">
        <v>200</v>
      </c>
      <c r="D25" t="s" s="113">
        <v>201</v>
      </c>
      <c r="E25" t="s" s="105">
        <v>189</v>
      </c>
      <c r="F25" s="107"/>
      <c r="G25" s="107"/>
      <c r="H25" s="107"/>
      <c r="I25" s="107"/>
      <c r="J25" s="107"/>
    </row>
    <row r="26" ht="28.35" customHeight="1">
      <c r="A26" t="s" s="111">
        <v>126</v>
      </c>
      <c r="B26" t="s" s="112">
        <v>202</v>
      </c>
      <c r="C26" t="s" s="114">
        <v>203</v>
      </c>
      <c r="D26" t="s" s="114">
        <v>204</v>
      </c>
      <c r="E26" t="s" s="105">
        <v>205</v>
      </c>
      <c r="F26" s="107"/>
      <c r="G26" s="107"/>
      <c r="H26" s="107"/>
      <c r="I26" s="107"/>
      <c r="J26" s="107"/>
    </row>
    <row r="27" ht="20.35" customHeight="1">
      <c r="A27" t="s" s="111">
        <v>137</v>
      </c>
      <c r="B27" t="s" s="112">
        <v>206</v>
      </c>
      <c r="C27" t="s" s="113">
        <v>207</v>
      </c>
      <c r="D27" t="s" s="113">
        <v>208</v>
      </c>
      <c r="E27" t="s" s="105">
        <v>205</v>
      </c>
      <c r="F27" s="107"/>
      <c r="G27" s="107"/>
      <c r="H27" s="107"/>
      <c r="I27" s="107"/>
      <c r="J27" s="107"/>
    </row>
    <row r="28" ht="20.35" customHeight="1">
      <c r="A28" t="s" s="111">
        <v>141</v>
      </c>
      <c r="B28" t="s" s="112">
        <v>209</v>
      </c>
      <c r="C28" t="s" s="113">
        <v>210</v>
      </c>
      <c r="D28" t="s" s="113">
        <v>211</v>
      </c>
      <c r="E28" t="s" s="105">
        <v>205</v>
      </c>
      <c r="F28" s="107"/>
      <c r="G28" s="107"/>
      <c r="H28" s="107"/>
      <c r="I28" s="107"/>
      <c r="J28" s="107"/>
    </row>
    <row r="29" ht="20.35" customHeight="1">
      <c r="A29" t="s" s="111">
        <v>84</v>
      </c>
      <c r="B29" t="s" s="112">
        <v>212</v>
      </c>
      <c r="C29" t="s" s="113">
        <v>213</v>
      </c>
      <c r="D29" t="s" s="113">
        <v>214</v>
      </c>
      <c r="E29" t="s" s="105">
        <v>189</v>
      </c>
      <c r="F29" s="107"/>
      <c r="G29" s="107"/>
      <c r="H29" s="107"/>
      <c r="I29" s="107"/>
      <c r="J29" s="107"/>
    </row>
    <row r="30" ht="28.35" customHeight="1">
      <c r="A30" t="s" s="111">
        <v>126</v>
      </c>
      <c r="B30" t="s" s="112">
        <v>215</v>
      </c>
      <c r="C30" t="s" s="113">
        <v>216</v>
      </c>
      <c r="D30" t="s" s="113">
        <v>217</v>
      </c>
      <c r="E30" t="s" s="105">
        <v>189</v>
      </c>
      <c r="F30" s="107"/>
      <c r="G30" s="107"/>
      <c r="H30" s="107"/>
      <c r="I30" s="107"/>
      <c r="J30" s="107"/>
    </row>
    <row r="31" ht="20.35" customHeight="1">
      <c r="A31" t="s" s="111">
        <v>137</v>
      </c>
      <c r="B31" t="s" s="112">
        <v>218</v>
      </c>
      <c r="C31" t="s" s="113">
        <v>219</v>
      </c>
      <c r="D31" t="s" s="113">
        <v>220</v>
      </c>
      <c r="E31" t="s" s="105">
        <v>221</v>
      </c>
      <c r="F31" s="107"/>
      <c r="G31" s="107"/>
      <c r="H31" s="107"/>
      <c r="I31" s="107"/>
      <c r="J31" s="107"/>
    </row>
    <row r="32" ht="20.35" customHeight="1">
      <c r="A32" t="s" s="111">
        <v>141</v>
      </c>
      <c r="B32" t="s" s="112">
        <v>222</v>
      </c>
      <c r="C32" t="s" s="113">
        <v>223</v>
      </c>
      <c r="D32" t="s" s="113">
        <v>224</v>
      </c>
      <c r="E32" t="s" s="105">
        <v>221</v>
      </c>
      <c r="F32" s="107"/>
      <c r="G32" s="107"/>
      <c r="H32" s="107"/>
      <c r="I32" s="107"/>
      <c r="J32" s="107"/>
    </row>
    <row r="33" ht="20.35" customHeight="1">
      <c r="A33" t="s" s="111">
        <v>126</v>
      </c>
      <c r="B33" t="s" s="112">
        <v>225</v>
      </c>
      <c r="C33" t="s" s="113">
        <v>226</v>
      </c>
      <c r="D33" t="s" s="113">
        <v>227</v>
      </c>
      <c r="E33" t="s" s="105">
        <v>228</v>
      </c>
      <c r="F33" s="107"/>
      <c r="G33" s="107"/>
      <c r="H33" s="107"/>
      <c r="I33" s="107"/>
      <c r="J33" s="107"/>
    </row>
    <row r="34" ht="20.35" customHeight="1">
      <c r="A34" t="s" s="111">
        <v>137</v>
      </c>
      <c r="B34" t="s" s="112">
        <v>229</v>
      </c>
      <c r="C34" t="s" s="113">
        <v>230</v>
      </c>
      <c r="D34" t="s" s="113">
        <v>231</v>
      </c>
      <c r="E34" t="s" s="105">
        <v>228</v>
      </c>
      <c r="F34" s="107"/>
      <c r="G34" s="107"/>
      <c r="H34" s="107"/>
      <c r="I34" s="107"/>
      <c r="J34" s="107"/>
    </row>
    <row r="35" ht="20.35" customHeight="1">
      <c r="A35" t="s" s="111">
        <v>141</v>
      </c>
      <c r="B35" t="s" s="112">
        <v>232</v>
      </c>
      <c r="C35" t="s" s="113">
        <v>233</v>
      </c>
      <c r="D35" t="s" s="113">
        <v>234</v>
      </c>
      <c r="E35" t="s" s="105">
        <v>228</v>
      </c>
      <c r="F35" s="107"/>
      <c r="G35" s="107"/>
      <c r="H35" s="107"/>
      <c r="I35" s="107"/>
      <c r="J35" s="107"/>
    </row>
    <row r="36" ht="20.35" customHeight="1">
      <c r="A36" t="s" s="111">
        <v>145</v>
      </c>
      <c r="B36" t="s" s="112">
        <v>235</v>
      </c>
      <c r="C36" t="s" s="113">
        <v>233</v>
      </c>
      <c r="D36" t="s" s="113">
        <v>234</v>
      </c>
      <c r="E36" t="s" s="105">
        <v>228</v>
      </c>
      <c r="F36" s="107"/>
      <c r="G36" s="107"/>
      <c r="H36" s="107"/>
      <c r="I36" s="107"/>
      <c r="J36" s="107"/>
    </row>
    <row r="37" ht="20.35" customHeight="1">
      <c r="A37" t="s" s="111">
        <v>119</v>
      </c>
      <c r="B37" t="s" s="112">
        <v>236</v>
      </c>
      <c r="C37" t="s" s="113">
        <v>237</v>
      </c>
      <c r="D37" t="s" s="113">
        <v>238</v>
      </c>
      <c r="E37" t="s" s="105">
        <v>221</v>
      </c>
      <c r="F37" s="107"/>
      <c r="G37" s="107"/>
      <c r="H37" s="107"/>
      <c r="I37" s="107"/>
      <c r="J37" s="107"/>
    </row>
    <row r="38" ht="20.35" customHeight="1">
      <c r="A38" t="s" s="111">
        <v>126</v>
      </c>
      <c r="B38" t="s" s="112">
        <v>239</v>
      </c>
      <c r="C38" t="s" s="113">
        <v>240</v>
      </c>
      <c r="D38" t="s" s="113">
        <v>241</v>
      </c>
      <c r="E38" t="s" s="105">
        <v>221</v>
      </c>
      <c r="F38" s="107"/>
      <c r="G38" s="107"/>
      <c r="H38" s="107"/>
      <c r="I38" s="107"/>
      <c r="J38" s="107"/>
    </row>
    <row r="39" ht="20.35" customHeight="1">
      <c r="A39" t="s" s="111">
        <v>137</v>
      </c>
      <c r="B39" t="s" s="112">
        <v>242</v>
      </c>
      <c r="C39" t="s" s="113">
        <v>243</v>
      </c>
      <c r="D39" t="s" s="113">
        <v>244</v>
      </c>
      <c r="E39" t="s" s="105">
        <v>221</v>
      </c>
      <c r="F39" s="107"/>
      <c r="G39" s="107"/>
      <c r="H39" s="107"/>
      <c r="I39" s="107"/>
      <c r="J39" s="107"/>
    </row>
    <row r="40" ht="28.35" customHeight="1">
      <c r="A40" t="s" s="111">
        <v>141</v>
      </c>
      <c r="B40" t="s" s="112">
        <v>245</v>
      </c>
      <c r="C40" t="s" s="113">
        <v>246</v>
      </c>
      <c r="D40" t="s" s="113">
        <v>247</v>
      </c>
      <c r="E40" t="s" s="105">
        <v>221</v>
      </c>
      <c r="F40" s="107"/>
      <c r="G40" s="107"/>
      <c r="H40" s="107"/>
      <c r="I40" s="107"/>
      <c r="J40" s="107"/>
    </row>
    <row r="41" ht="20.35" customHeight="1">
      <c r="A41" t="s" s="111">
        <v>145</v>
      </c>
      <c r="B41" t="s" s="112">
        <v>248</v>
      </c>
      <c r="C41" t="s" s="113">
        <v>249</v>
      </c>
      <c r="D41" t="s" s="113">
        <v>250</v>
      </c>
      <c r="E41" t="s" s="105">
        <v>221</v>
      </c>
      <c r="F41" s="107"/>
      <c r="G41" s="107"/>
      <c r="H41" s="107"/>
      <c r="I41" s="107"/>
      <c r="J41" s="107"/>
    </row>
    <row r="42" ht="28.35" customHeight="1">
      <c r="A42" t="s" s="111">
        <v>141</v>
      </c>
      <c r="B42" t="s" s="112">
        <v>251</v>
      </c>
      <c r="C42" t="s" s="115">
        <v>252</v>
      </c>
      <c r="D42" t="s" s="115">
        <v>253</v>
      </c>
      <c r="E42" t="s" s="105">
        <v>164</v>
      </c>
      <c r="F42" s="107"/>
      <c r="G42" s="107"/>
      <c r="H42" s="107"/>
      <c r="I42" s="107"/>
      <c r="J42" s="107"/>
    </row>
    <row r="43" ht="40.35" customHeight="1">
      <c r="A43" t="s" s="111">
        <v>137</v>
      </c>
      <c r="B43" t="s" s="112">
        <v>254</v>
      </c>
      <c r="C43" t="s" s="116">
        <v>255</v>
      </c>
      <c r="D43" t="s" s="116">
        <v>256</v>
      </c>
      <c r="E43" t="s" s="105">
        <v>154</v>
      </c>
      <c r="F43" s="107"/>
      <c r="G43" s="107"/>
      <c r="H43" s="107"/>
      <c r="I43" s="107"/>
      <c r="J43" s="107"/>
    </row>
    <row r="44" ht="28.35" customHeight="1">
      <c r="A44" t="s" s="111">
        <v>141</v>
      </c>
      <c r="B44" t="s" s="112">
        <v>257</v>
      </c>
      <c r="C44" t="s" s="116">
        <v>258</v>
      </c>
      <c r="D44" t="s" s="116">
        <v>259</v>
      </c>
      <c r="E44" t="s" s="105">
        <v>154</v>
      </c>
      <c r="F44" s="107"/>
      <c r="G44" s="107"/>
      <c r="H44" s="107"/>
      <c r="I44" s="107"/>
      <c r="J44" s="107"/>
    </row>
    <row r="45" ht="20.35" customHeight="1">
      <c r="A45" t="s" s="111">
        <v>119</v>
      </c>
      <c r="B45" t="s" s="112">
        <v>260</v>
      </c>
      <c r="C45" t="s" s="116">
        <v>261</v>
      </c>
      <c r="D45" t="s" s="116">
        <v>262</v>
      </c>
      <c r="E45" t="s" s="105">
        <v>221</v>
      </c>
      <c r="F45" s="107"/>
      <c r="G45" s="107"/>
      <c r="H45" s="107"/>
      <c r="I45" s="107"/>
      <c r="J45" s="107"/>
    </row>
    <row r="46" ht="20.35" customHeight="1">
      <c r="A46" t="s" s="111">
        <v>126</v>
      </c>
      <c r="B46" t="s" s="112">
        <v>263</v>
      </c>
      <c r="C46" t="s" s="117">
        <v>264</v>
      </c>
      <c r="D46" t="s" s="116">
        <v>265</v>
      </c>
      <c r="E46" t="s" s="105">
        <v>164</v>
      </c>
      <c r="F46" s="107"/>
      <c r="G46" s="107"/>
      <c r="H46" s="107"/>
      <c r="I46" s="107"/>
      <c r="J46" s="107"/>
    </row>
    <row r="47" ht="20.35" customHeight="1">
      <c r="A47" t="s" s="111">
        <v>137</v>
      </c>
      <c r="B47" t="s" s="112">
        <v>266</v>
      </c>
      <c r="C47" t="s" s="116">
        <v>267</v>
      </c>
      <c r="D47" t="s" s="116">
        <v>268</v>
      </c>
      <c r="E47" t="s" s="105">
        <v>164</v>
      </c>
      <c r="F47" s="107"/>
      <c r="G47" s="107"/>
      <c r="H47" s="107"/>
      <c r="I47" s="107"/>
      <c r="J47" s="107"/>
    </row>
    <row r="48" ht="28.35" customHeight="1">
      <c r="A48" t="s" s="111">
        <v>141</v>
      </c>
      <c r="B48" t="s" s="112">
        <v>269</v>
      </c>
      <c r="C48" t="s" s="117">
        <v>270</v>
      </c>
      <c r="D48" t="s" s="116">
        <v>271</v>
      </c>
      <c r="E48" t="s" s="105">
        <v>164</v>
      </c>
      <c r="F48" s="107"/>
      <c r="G48" s="107"/>
      <c r="H48" s="107"/>
      <c r="I48" s="107"/>
      <c r="J48" s="107"/>
    </row>
    <row r="49" ht="20.35" customHeight="1">
      <c r="A49" t="s" s="111">
        <v>137</v>
      </c>
      <c r="B49" t="s" s="112">
        <v>272</v>
      </c>
      <c r="C49" t="s" s="116">
        <v>273</v>
      </c>
      <c r="D49" t="s" s="116">
        <v>274</v>
      </c>
      <c r="E49" t="s" s="105">
        <v>189</v>
      </c>
      <c r="F49" s="107"/>
      <c r="G49" s="107"/>
      <c r="H49" s="107"/>
      <c r="I49" s="107"/>
      <c r="J49" s="107"/>
    </row>
    <row r="50" ht="20.35" customHeight="1">
      <c r="A50" t="s" s="111">
        <v>141</v>
      </c>
      <c r="B50" t="s" s="112">
        <v>275</v>
      </c>
      <c r="C50" t="s" s="116">
        <v>276</v>
      </c>
      <c r="D50" t="s" s="116">
        <v>277</v>
      </c>
      <c r="E50" t="s" s="105">
        <v>205</v>
      </c>
      <c r="F50" s="107"/>
      <c r="G50" s="107"/>
      <c r="H50" s="107"/>
      <c r="I50" s="107"/>
      <c r="J50" s="107"/>
    </row>
    <row r="51" ht="20.35" customHeight="1">
      <c r="A51" t="s" s="111">
        <v>145</v>
      </c>
      <c r="B51" t="s" s="112">
        <v>278</v>
      </c>
      <c r="C51" t="s" s="116">
        <v>279</v>
      </c>
      <c r="D51" t="s" s="116">
        <v>211</v>
      </c>
      <c r="E51" t="s" s="105">
        <v>205</v>
      </c>
      <c r="F51" s="107"/>
      <c r="G51" s="107"/>
      <c r="H51" s="107"/>
      <c r="I51" s="107"/>
      <c r="J51" s="107"/>
    </row>
    <row r="52" ht="20.35" customHeight="1">
      <c r="A52" t="s" s="111">
        <v>84</v>
      </c>
      <c r="B52" t="s" s="112">
        <v>280</v>
      </c>
      <c r="C52" t="s" s="117">
        <v>281</v>
      </c>
      <c r="D52" t="s" s="116">
        <v>282</v>
      </c>
      <c r="E52" t="s" s="105">
        <v>221</v>
      </c>
      <c r="F52" s="107"/>
      <c r="G52" s="107"/>
      <c r="H52" s="107"/>
      <c r="I52" s="107"/>
      <c r="J52" s="107"/>
    </row>
    <row r="53" ht="20.35" customHeight="1">
      <c r="A53" t="s" s="111">
        <v>119</v>
      </c>
      <c r="B53" t="s" s="112">
        <v>283</v>
      </c>
      <c r="C53" t="s" s="117">
        <v>284</v>
      </c>
      <c r="D53" t="s" s="116">
        <v>285</v>
      </c>
      <c r="E53" t="s" s="105">
        <v>164</v>
      </c>
      <c r="F53" s="107"/>
      <c r="G53" s="107"/>
      <c r="H53" s="107"/>
      <c r="I53" s="107"/>
      <c r="J53" s="107"/>
    </row>
    <row r="54" ht="20.35" customHeight="1">
      <c r="A54" t="s" s="111">
        <v>126</v>
      </c>
      <c r="B54" t="s" s="112">
        <v>286</v>
      </c>
      <c r="C54" t="s" s="117">
        <v>287</v>
      </c>
      <c r="D54" t="s" s="116">
        <v>288</v>
      </c>
      <c r="E54" t="s" s="105">
        <v>164</v>
      </c>
      <c r="F54" s="107"/>
      <c r="G54" s="107"/>
      <c r="H54" s="107"/>
      <c r="I54" s="107"/>
      <c r="J54" s="107"/>
    </row>
    <row r="55" ht="20.35" customHeight="1">
      <c r="A55" t="s" s="111">
        <v>137</v>
      </c>
      <c r="B55" t="s" s="112">
        <v>289</v>
      </c>
      <c r="C55" t="s" s="117">
        <v>290</v>
      </c>
      <c r="D55" t="s" s="116">
        <v>291</v>
      </c>
      <c r="E55" t="s" s="105">
        <v>164</v>
      </c>
      <c r="F55" s="107"/>
      <c r="G55" s="107"/>
      <c r="H55" s="107"/>
      <c r="I55" s="107"/>
      <c r="J55" s="107"/>
    </row>
    <row r="56" ht="20.35" customHeight="1">
      <c r="A56" t="s" s="111">
        <v>141</v>
      </c>
      <c r="B56" t="s" s="112">
        <v>292</v>
      </c>
      <c r="C56" t="s" s="116">
        <v>293</v>
      </c>
      <c r="D56" t="s" s="116">
        <v>294</v>
      </c>
      <c r="E56" t="s" s="105">
        <v>164</v>
      </c>
      <c r="F56" s="107"/>
      <c r="G56" s="107"/>
      <c r="H56" s="107"/>
      <c r="I56" s="107"/>
      <c r="J56" s="107"/>
    </row>
    <row r="57" ht="28.35" customHeight="1">
      <c r="A57" t="s" s="111">
        <v>126</v>
      </c>
      <c r="B57" t="s" s="112">
        <v>295</v>
      </c>
      <c r="C57" t="s" s="116">
        <v>296</v>
      </c>
      <c r="D57" t="s" s="118">
        <v>297</v>
      </c>
      <c r="E57" t="s" s="105">
        <v>298</v>
      </c>
      <c r="F57" s="107"/>
      <c r="G57" s="107"/>
      <c r="H57" s="107"/>
      <c r="I57" s="107"/>
      <c r="J57" s="107"/>
    </row>
    <row r="58" ht="20.35" customHeight="1">
      <c r="A58" t="s" s="111">
        <v>137</v>
      </c>
      <c r="B58" t="s" s="112">
        <v>299</v>
      </c>
      <c r="C58" t="s" s="116">
        <v>300</v>
      </c>
      <c r="D58" t="s" s="118">
        <v>301</v>
      </c>
      <c r="E58" t="s" s="105">
        <v>302</v>
      </c>
      <c r="F58" s="107"/>
      <c r="G58" s="107"/>
      <c r="H58" s="107"/>
      <c r="I58" s="107"/>
      <c r="J58" s="107"/>
    </row>
    <row r="59" ht="20.35" customHeight="1">
      <c r="A59" t="s" s="111">
        <v>141</v>
      </c>
      <c r="B59" t="s" s="112">
        <v>303</v>
      </c>
      <c r="C59" t="s" s="116">
        <v>304</v>
      </c>
      <c r="D59" t="s" s="118">
        <v>305</v>
      </c>
      <c r="E59" t="s" s="105">
        <v>302</v>
      </c>
      <c r="F59" s="107"/>
      <c r="G59" s="107"/>
      <c r="H59" s="107"/>
      <c r="I59" s="107"/>
      <c r="J59" s="107"/>
    </row>
  </sheetData>
  <mergeCells count="1">
    <mergeCell ref="A1:J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dimension ref="A2:P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 width="11.4844" style="122" customWidth="1"/>
    <col min="2" max="2" width="12.3828" style="122" customWidth="1"/>
    <col min="3" max="16" width="4.75" style="122" customWidth="1"/>
    <col min="17" max="16384" width="16.3516" style="122" customWidth="1"/>
  </cols>
  <sheetData>
    <row r="1" ht="27.65" customHeight="1">
      <c r="A1" t="s" s="7">
        <v>315</v>
      </c>
      <c r="B1" s="7"/>
      <c r="C1" s="7"/>
      <c r="D1" s="7"/>
      <c r="E1" s="7"/>
      <c r="F1" s="7"/>
      <c r="G1" s="7"/>
      <c r="H1" s="7"/>
      <c r="I1" s="7"/>
      <c r="J1" s="7"/>
      <c r="K1" s="7"/>
      <c r="L1" s="7"/>
      <c r="M1" s="7"/>
      <c r="N1" s="7"/>
      <c r="O1" s="7"/>
      <c r="P1" s="7"/>
    </row>
    <row r="2" ht="20.05" customHeight="1">
      <c r="A2" t="s" s="123">
        <v>317</v>
      </c>
      <c r="B2" t="s" s="124">
        <v>318</v>
      </c>
      <c r="C2" s="125"/>
      <c r="D2" s="125"/>
      <c r="E2" s="125"/>
      <c r="F2" s="125"/>
      <c r="G2" s="125"/>
      <c r="H2" s="125"/>
      <c r="I2" s="125"/>
      <c r="J2" s="125"/>
      <c r="K2" s="125"/>
      <c r="L2" s="125"/>
      <c r="M2" s="125"/>
      <c r="N2" s="125"/>
      <c r="O2" s="125"/>
      <c r="P2" s="126"/>
    </row>
    <row r="3" ht="20.05" customHeight="1">
      <c r="A3" t="s" s="127">
        <v>205</v>
      </c>
      <c r="B3" t="s" s="128">
        <v>319</v>
      </c>
      <c r="C3" t="s" s="129">
        <v>320</v>
      </c>
      <c r="D3" t="s" s="130">
        <v>321</v>
      </c>
      <c r="E3" t="s" s="130">
        <v>322</v>
      </c>
      <c r="F3" t="s" s="130">
        <v>323</v>
      </c>
      <c r="G3" t="s" s="130">
        <v>324</v>
      </c>
      <c r="H3" t="s" s="130">
        <v>325</v>
      </c>
      <c r="I3" s="131"/>
      <c r="J3" s="132"/>
      <c r="K3" s="132"/>
      <c r="L3" s="132"/>
      <c r="M3" s="132"/>
      <c r="N3" s="132"/>
      <c r="O3" s="132"/>
      <c r="P3" s="133"/>
    </row>
    <row r="4" ht="20.05" customHeight="1">
      <c r="A4" t="s" s="134">
        <v>164</v>
      </c>
      <c r="B4" t="s" s="135">
        <v>326</v>
      </c>
      <c r="C4" t="s" s="136">
        <v>327</v>
      </c>
      <c r="D4" t="s" s="137">
        <v>328</v>
      </c>
      <c r="E4" t="s" s="137">
        <v>329</v>
      </c>
      <c r="F4" t="s" s="137">
        <v>330</v>
      </c>
      <c r="G4" t="s" s="137">
        <v>331</v>
      </c>
      <c r="H4" t="s" s="138">
        <v>332</v>
      </c>
      <c r="I4" t="s" s="139">
        <v>333</v>
      </c>
      <c r="J4" t="s" s="137">
        <v>334</v>
      </c>
      <c r="K4" t="s" s="137">
        <v>221</v>
      </c>
      <c r="L4" t="s" s="137">
        <v>335</v>
      </c>
      <c r="M4" t="s" s="137">
        <v>336</v>
      </c>
      <c r="N4" t="s" s="137">
        <v>337</v>
      </c>
      <c r="O4" t="s" s="137">
        <v>338</v>
      </c>
      <c r="P4" t="s" s="138">
        <v>339</v>
      </c>
    </row>
    <row r="5" ht="20.05" customHeight="1">
      <c r="A5" t="s" s="134">
        <v>221</v>
      </c>
      <c r="B5" t="s" s="135">
        <v>221</v>
      </c>
      <c r="C5" t="s" s="140">
        <v>340</v>
      </c>
      <c r="D5" t="s" s="141">
        <v>341</v>
      </c>
      <c r="E5" t="s" s="141">
        <v>342</v>
      </c>
      <c r="F5" t="s" s="141">
        <v>343</v>
      </c>
      <c r="G5" t="s" s="141">
        <v>344</v>
      </c>
      <c r="H5" t="s" s="141">
        <v>345</v>
      </c>
      <c r="I5" t="s" s="141">
        <v>346</v>
      </c>
      <c r="J5" t="s" s="141">
        <v>347</v>
      </c>
      <c r="K5" t="s" s="141">
        <v>348</v>
      </c>
      <c r="L5" t="s" s="141">
        <v>349</v>
      </c>
      <c r="M5" t="s" s="141">
        <v>350</v>
      </c>
      <c r="N5" t="s" s="141">
        <v>351</v>
      </c>
      <c r="O5" s="142"/>
      <c r="P5" s="143"/>
    </row>
    <row r="6" ht="20.05" customHeight="1">
      <c r="A6" t="s" s="134">
        <v>189</v>
      </c>
      <c r="B6" t="s" s="135">
        <v>189</v>
      </c>
      <c r="C6" t="s" s="136">
        <v>352</v>
      </c>
      <c r="D6" t="s" s="137">
        <v>353</v>
      </c>
      <c r="E6" t="s" s="137">
        <v>354</v>
      </c>
      <c r="F6" t="s" s="137">
        <v>355</v>
      </c>
      <c r="G6" t="s" s="137">
        <v>356</v>
      </c>
      <c r="H6" s="144"/>
      <c r="I6" s="144"/>
      <c r="J6" s="144"/>
      <c r="K6" s="144"/>
      <c r="L6" s="144"/>
      <c r="M6" s="144"/>
      <c r="N6" s="144"/>
      <c r="O6" s="144"/>
      <c r="P6" s="145"/>
    </row>
    <row r="7" ht="20.05" customHeight="1">
      <c r="A7" t="s" s="134">
        <v>88</v>
      </c>
      <c r="B7" t="s" s="135">
        <v>88</v>
      </c>
      <c r="C7" t="s" s="140">
        <v>357</v>
      </c>
      <c r="D7" t="s" s="141">
        <v>358</v>
      </c>
      <c r="E7" t="s" s="141">
        <v>359</v>
      </c>
      <c r="F7" t="s" s="141">
        <v>360</v>
      </c>
      <c r="G7" t="s" s="141">
        <v>361</v>
      </c>
      <c r="H7" s="142"/>
      <c r="I7" s="142"/>
      <c r="J7" s="142"/>
      <c r="K7" s="142"/>
      <c r="L7" s="142"/>
      <c r="M7" s="142"/>
      <c r="N7" s="142"/>
      <c r="O7" s="142"/>
      <c r="P7" s="143"/>
    </row>
    <row r="8" ht="20.05" customHeight="1">
      <c r="A8" t="s" s="134">
        <v>154</v>
      </c>
      <c r="B8" t="s" s="135">
        <v>154</v>
      </c>
      <c r="C8" t="s" s="136">
        <v>362</v>
      </c>
      <c r="D8" t="s" s="137">
        <v>363</v>
      </c>
      <c r="E8" t="s" s="137">
        <v>364</v>
      </c>
      <c r="F8" t="s" s="137">
        <v>365</v>
      </c>
      <c r="G8" t="s" s="137">
        <v>366</v>
      </c>
      <c r="H8" t="s" s="137">
        <v>367</v>
      </c>
      <c r="I8" t="s" s="137">
        <v>368</v>
      </c>
      <c r="J8" t="s" s="137">
        <v>369</v>
      </c>
      <c r="K8" s="144"/>
      <c r="L8" s="144"/>
      <c r="M8" s="144"/>
      <c r="N8" s="144"/>
      <c r="O8" s="144"/>
      <c r="P8" s="145"/>
    </row>
    <row r="9" ht="20.05" customHeight="1">
      <c r="A9" s="146"/>
      <c r="B9" s="147"/>
      <c r="C9" s="148"/>
      <c r="D9" s="142"/>
      <c r="E9" s="142"/>
      <c r="F9" s="142"/>
      <c r="G9" s="142"/>
      <c r="H9" s="142"/>
      <c r="I9" s="142"/>
      <c r="J9" s="142"/>
      <c r="K9" s="142"/>
      <c r="L9" s="142"/>
      <c r="M9" s="142"/>
      <c r="N9" s="142"/>
      <c r="O9" s="142"/>
      <c r="P9" s="143"/>
    </row>
    <row r="10" ht="20.05" customHeight="1">
      <c r="A10" t="s" s="134">
        <v>228</v>
      </c>
      <c r="B10" t="s" s="135">
        <v>370</v>
      </c>
      <c r="C10" t="s" s="136">
        <v>371</v>
      </c>
      <c r="D10" t="s" s="137">
        <v>372</v>
      </c>
      <c r="E10" s="144"/>
      <c r="F10" s="144"/>
      <c r="G10" s="144"/>
      <c r="H10" s="144"/>
      <c r="I10" s="144"/>
      <c r="J10" s="144"/>
      <c r="K10" s="144"/>
      <c r="L10" s="144"/>
      <c r="M10" s="144"/>
      <c r="N10" s="144"/>
      <c r="O10" s="144"/>
      <c r="P10" s="145"/>
    </row>
    <row r="11" ht="20.05" customHeight="1">
      <c r="A11" t="s" s="134">
        <v>302</v>
      </c>
      <c r="B11" t="s" s="135">
        <v>373</v>
      </c>
      <c r="C11" t="s" s="140">
        <v>374</v>
      </c>
      <c r="D11" t="s" s="141">
        <v>375</v>
      </c>
      <c r="E11" t="s" s="141">
        <v>376</v>
      </c>
      <c r="F11" s="149"/>
      <c r="G11" s="142"/>
      <c r="H11" s="142"/>
      <c r="I11" s="142"/>
      <c r="J11" s="142"/>
      <c r="K11" s="142"/>
      <c r="L11" s="142"/>
      <c r="M11" s="142"/>
      <c r="N11" s="142"/>
      <c r="O11" s="142"/>
      <c r="P11" s="143"/>
    </row>
    <row r="12" ht="20.05" customHeight="1">
      <c r="A12" t="s" s="134">
        <v>298</v>
      </c>
      <c r="B12" t="s" s="135">
        <v>377</v>
      </c>
      <c r="C12" t="s" s="136">
        <v>378</v>
      </c>
      <c r="D12" t="s" s="137">
        <v>379</v>
      </c>
      <c r="E12" t="s" s="137">
        <v>380</v>
      </c>
      <c r="F12" t="s" s="137">
        <v>381</v>
      </c>
      <c r="G12" t="s" s="137">
        <v>382</v>
      </c>
      <c r="H12" t="s" s="137">
        <v>383</v>
      </c>
      <c r="I12" s="150"/>
      <c r="J12" s="144"/>
      <c r="K12" s="144"/>
      <c r="L12" s="144"/>
      <c r="M12" s="144"/>
      <c r="N12" s="144"/>
      <c r="O12" s="144"/>
      <c r="P12" s="145"/>
    </row>
    <row r="13" ht="20.05" customHeight="1">
      <c r="A13" t="s" s="151">
        <v>384</v>
      </c>
      <c r="B13" t="s" s="152">
        <v>385</v>
      </c>
      <c r="C13" t="s" s="153">
        <v>386</v>
      </c>
      <c r="D13" t="s" s="154">
        <v>387</v>
      </c>
      <c r="E13" s="155"/>
      <c r="F13" s="155"/>
      <c r="G13" s="155"/>
      <c r="H13" s="155"/>
      <c r="I13" s="155"/>
      <c r="J13" s="155"/>
      <c r="K13" s="155"/>
      <c r="L13" s="155"/>
      <c r="M13" s="155"/>
      <c r="N13" s="155"/>
      <c r="O13" s="155"/>
      <c r="P13" s="156"/>
    </row>
  </sheetData>
  <mergeCells count="1">
    <mergeCell ref="A1:P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2:J1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1719" style="157" customWidth="1"/>
    <col min="11" max="16384" width="16.3516" style="157" customWidth="1"/>
  </cols>
  <sheetData>
    <row r="1" ht="27.65" customHeight="1">
      <c r="A1" t="s" s="7">
        <v>389</v>
      </c>
      <c r="B1" s="7"/>
      <c r="C1" s="7"/>
      <c r="D1" s="7"/>
      <c r="E1" s="7"/>
      <c r="F1" s="7"/>
      <c r="G1" s="7"/>
      <c r="H1" s="7"/>
      <c r="I1" s="7"/>
      <c r="J1" s="7"/>
    </row>
    <row r="2" ht="20.25" customHeight="1">
      <c r="A2" s="158"/>
      <c r="B2" s="159">
        <v>1</v>
      </c>
      <c r="C2" s="159">
        <v>2</v>
      </c>
      <c r="D2" s="159">
        <v>3</v>
      </c>
      <c r="E2" s="159">
        <v>4</v>
      </c>
      <c r="F2" s="159">
        <v>5</v>
      </c>
      <c r="G2" s="159">
        <v>6</v>
      </c>
      <c r="H2" s="158"/>
      <c r="I2" s="158"/>
      <c r="J2" s="158"/>
    </row>
    <row r="3" ht="32.25" customHeight="1">
      <c r="A3" t="s" s="160">
        <v>391</v>
      </c>
      <c r="B3" s="161"/>
      <c r="C3" s="162"/>
      <c r="D3" s="162"/>
      <c r="E3" s="162"/>
      <c r="F3" s="162"/>
      <c r="G3" s="162"/>
      <c r="H3" s="162"/>
      <c r="I3" s="162"/>
      <c r="J3" s="162"/>
    </row>
    <row r="4" ht="32.05" customHeight="1">
      <c r="A4" t="s" s="163">
        <v>392</v>
      </c>
      <c r="B4" s="104"/>
      <c r="C4" s="47"/>
      <c r="D4" s="47"/>
      <c r="E4" s="47"/>
      <c r="F4" s="47"/>
      <c r="G4" s="47"/>
      <c r="H4" s="47"/>
      <c r="I4" s="47"/>
      <c r="J4" s="47"/>
    </row>
    <row r="5" ht="20.05" customHeight="1">
      <c r="A5" t="s" s="163">
        <v>393</v>
      </c>
      <c r="B5" s="104"/>
      <c r="C5" s="47"/>
      <c r="D5" s="47"/>
      <c r="E5" s="47"/>
      <c r="F5" s="47"/>
      <c r="G5" s="47"/>
      <c r="H5" s="47"/>
      <c r="I5" s="47"/>
      <c r="J5" s="47"/>
    </row>
    <row r="6" ht="32.05" customHeight="1">
      <c r="A6" t="s" s="163">
        <v>394</v>
      </c>
      <c r="B6" s="104"/>
      <c r="C6" s="47"/>
      <c r="D6" t="s" s="164">
        <v>395</v>
      </c>
      <c r="E6" s="47"/>
      <c r="F6" s="47"/>
      <c r="G6" s="47"/>
      <c r="H6" s="47"/>
      <c r="I6" s="47"/>
      <c r="J6" s="47"/>
    </row>
    <row r="7" ht="32.05" customHeight="1">
      <c r="A7" t="s" s="163">
        <v>396</v>
      </c>
      <c r="B7" s="104"/>
      <c r="C7" s="47"/>
      <c r="D7" s="47"/>
      <c r="E7" s="47"/>
      <c r="F7" s="47"/>
      <c r="G7" s="47"/>
      <c r="H7" s="47"/>
      <c r="I7" s="47"/>
      <c r="J7" s="47"/>
    </row>
    <row r="8" ht="20.05" customHeight="1">
      <c r="A8" s="92"/>
      <c r="B8" s="104"/>
      <c r="C8" s="47"/>
      <c r="D8" s="47"/>
      <c r="E8" s="47"/>
      <c r="F8" s="47"/>
      <c r="G8" s="47"/>
      <c r="H8" s="47"/>
      <c r="I8" s="47"/>
      <c r="J8" s="47"/>
    </row>
    <row r="9" ht="20.05" customHeight="1">
      <c r="A9" s="92"/>
      <c r="B9" s="104"/>
      <c r="C9" s="47"/>
      <c r="D9" s="47"/>
      <c r="E9" s="47"/>
      <c r="F9" s="47"/>
      <c r="G9" s="47"/>
      <c r="H9" s="47"/>
      <c r="I9" s="47"/>
      <c r="J9" s="47"/>
    </row>
    <row r="10" ht="20.05" customHeight="1">
      <c r="A10" s="92"/>
      <c r="B10" s="104"/>
      <c r="C10" s="47"/>
      <c r="D10" s="47"/>
      <c r="E10" s="47"/>
      <c r="F10" s="47"/>
      <c r="G10" s="47"/>
      <c r="H10" s="47"/>
      <c r="I10" s="47"/>
      <c r="J10" s="47"/>
    </row>
    <row r="11" ht="20.05" customHeight="1">
      <c r="A11" s="92"/>
      <c r="B11" s="104"/>
      <c r="C11" s="47"/>
      <c r="D11" s="47"/>
      <c r="E11" s="47"/>
      <c r="F11" s="47"/>
      <c r="G11" s="47"/>
      <c r="H11" s="47"/>
      <c r="I11" s="47"/>
      <c r="J11" s="47"/>
    </row>
    <row r="12" ht="20.05" customHeight="1">
      <c r="A12" s="92"/>
      <c r="B12" s="104"/>
      <c r="C12" s="47"/>
      <c r="D12" s="47"/>
      <c r="E12" s="47"/>
      <c r="F12" s="47"/>
      <c r="G12" s="47"/>
      <c r="H12" s="47"/>
      <c r="I12" s="47"/>
      <c r="J12" s="47"/>
    </row>
    <row r="13" ht="20.05" customHeight="1">
      <c r="A13" s="92"/>
      <c r="B13" s="104"/>
      <c r="C13" s="47"/>
      <c r="D13" s="47"/>
      <c r="E13" s="47"/>
      <c r="F13" s="47"/>
      <c r="G13" s="47"/>
      <c r="H13" s="47"/>
      <c r="I13" s="47"/>
      <c r="J13" s="47"/>
    </row>
  </sheetData>
  <mergeCells count="1">
    <mergeCell ref="A1:J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165" customWidth="1"/>
    <col min="6" max="16384" width="16.3516" style="165" customWidth="1"/>
  </cols>
  <sheetData>
    <row r="1" ht="27.65" customHeight="1">
      <c r="A1" t="s" s="7">
        <v>398</v>
      </c>
      <c r="B1" s="7"/>
      <c r="C1" s="7"/>
      <c r="D1" s="7"/>
      <c r="E1" s="7"/>
    </row>
    <row r="2" ht="20.25" customHeight="1">
      <c r="A2" s="158"/>
      <c r="B2" s="158"/>
      <c r="C2" s="158"/>
      <c r="D2" s="158"/>
      <c r="E2" s="158"/>
    </row>
    <row r="3" ht="20.25" customHeight="1">
      <c r="A3" t="s" s="160">
        <v>400</v>
      </c>
      <c r="B3" s="161"/>
      <c r="C3" s="162"/>
      <c r="D3" s="162"/>
      <c r="E3" s="162"/>
    </row>
    <row r="4" ht="20.05" customHeight="1">
      <c r="A4" t="s" s="163">
        <v>401</v>
      </c>
      <c r="B4" s="104"/>
      <c r="C4" s="47"/>
      <c r="D4" s="47"/>
      <c r="E4" s="47"/>
    </row>
    <row r="5" ht="20.05" customHeight="1">
      <c r="A5" t="s" s="163">
        <v>402</v>
      </c>
      <c r="B5" s="104"/>
      <c r="C5" s="47"/>
      <c r="D5" s="47"/>
      <c r="E5" s="47"/>
    </row>
    <row r="6" ht="32.05" customHeight="1">
      <c r="A6" t="s" s="163">
        <v>403</v>
      </c>
      <c r="B6" s="104"/>
      <c r="C6" s="47"/>
      <c r="D6" s="47"/>
      <c r="E6" s="47"/>
    </row>
    <row r="7" ht="32.05" customHeight="1">
      <c r="A7" t="s" s="163">
        <v>404</v>
      </c>
      <c r="B7" s="104"/>
      <c r="C7" s="47"/>
      <c r="D7" s="47"/>
      <c r="E7" s="47"/>
    </row>
    <row r="8" ht="20.05" customHeight="1">
      <c r="A8" s="92"/>
      <c r="B8" s="104"/>
      <c r="C8" s="47"/>
      <c r="D8" s="47"/>
      <c r="E8" s="47"/>
    </row>
    <row r="9" ht="20.05" customHeight="1">
      <c r="A9" s="92"/>
      <c r="B9" s="104"/>
      <c r="C9" s="47"/>
      <c r="D9" s="47"/>
      <c r="E9" s="47"/>
    </row>
    <row r="10" ht="20.05" customHeight="1">
      <c r="A10" s="92"/>
      <c r="B10" s="104"/>
      <c r="C10" s="47"/>
      <c r="D10" s="47"/>
      <c r="E10" s="47"/>
    </row>
    <row r="11" ht="20.05" customHeight="1">
      <c r="A11" s="92"/>
      <c r="B11" s="104"/>
      <c r="C11" s="47"/>
      <c r="D11" s="47"/>
      <c r="E11" s="47"/>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2:C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66" customWidth="1"/>
    <col min="2" max="2" width="44.5391" style="166" customWidth="1"/>
    <col min="3" max="3" width="16.3516" style="166" customWidth="1"/>
    <col min="4" max="16384" width="16.3516" style="166" customWidth="1"/>
  </cols>
  <sheetData>
    <row r="1" ht="27.65" customHeight="1">
      <c r="A1" t="s" s="7">
        <v>406</v>
      </c>
      <c r="B1" s="7"/>
      <c r="C1" s="7"/>
    </row>
    <row r="2" ht="20.25" customHeight="1">
      <c r="A2" s="158"/>
      <c r="B2" s="158"/>
      <c r="C2" s="158"/>
    </row>
    <row r="3" ht="32.25" customHeight="1">
      <c r="A3" t="s" s="160">
        <v>408</v>
      </c>
      <c r="B3" s="161"/>
      <c r="C3" s="162"/>
    </row>
    <row r="4" ht="44.05" customHeight="1">
      <c r="A4" t="s" s="163">
        <v>409</v>
      </c>
      <c r="B4" s="104"/>
      <c r="C4" s="47"/>
    </row>
    <row r="5" ht="116.05" customHeight="1">
      <c r="A5" t="s" s="163">
        <v>410</v>
      </c>
      <c r="B5" t="s" s="93">
        <v>411</v>
      </c>
      <c r="C5" s="47"/>
    </row>
    <row r="6" ht="20.05" customHeight="1">
      <c r="A6" t="s" s="163">
        <v>412</v>
      </c>
      <c r="B6" s="104"/>
      <c r="C6" s="47"/>
    </row>
    <row r="7" ht="32.05" customHeight="1">
      <c r="A7" t="s" s="163">
        <v>413</v>
      </c>
      <c r="B7" s="104"/>
      <c r="C7" s="47"/>
    </row>
    <row r="8" ht="32.05" customHeight="1">
      <c r="A8" t="s" s="163">
        <v>414</v>
      </c>
      <c r="B8" s="104"/>
      <c r="C8" s="47"/>
    </row>
    <row r="9" ht="20.05" customHeight="1">
      <c r="A9" t="s" s="163">
        <v>415</v>
      </c>
      <c r="B9" s="104"/>
      <c r="C9" s="47"/>
    </row>
    <row r="10" ht="20.05" customHeight="1">
      <c r="A10" s="92"/>
      <c r="B10" s="104"/>
      <c r="C10" s="47"/>
    </row>
    <row r="11" ht="20.05" customHeight="1">
      <c r="A11" s="92"/>
      <c r="B11" s="104"/>
      <c r="C11" s="47"/>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E8"/>
  <sheetViews>
    <sheetView workbookViewId="0" showGridLines="0" defaultGridColor="1"/>
  </sheetViews>
  <sheetFormatPr defaultColWidth="20.8333" defaultRowHeight="19.9" customHeight="1" outlineLevelRow="0" outlineLevelCol="0"/>
  <cols>
    <col min="1" max="1" width="50.0703" style="167" customWidth="1"/>
    <col min="2" max="2" width="9.60938" style="167" customWidth="1"/>
    <col min="3" max="4" width="13.1641" style="167" customWidth="1"/>
    <col min="5" max="5" width="45.4375" style="167" customWidth="1"/>
    <col min="6" max="16384" width="20.8516" style="167" customWidth="1"/>
  </cols>
  <sheetData>
    <row r="1" ht="48.4" customHeight="1">
      <c r="A1" t="s" s="168">
        <v>418</v>
      </c>
      <c r="B1" t="s" s="168">
        <v>419</v>
      </c>
      <c r="C1" t="s" s="168">
        <v>420</v>
      </c>
      <c r="D1" s="169"/>
      <c r="E1" t="s" s="168">
        <v>421</v>
      </c>
    </row>
    <row r="2" ht="48.4" customHeight="1">
      <c r="A2" t="s" s="170">
        <v>422</v>
      </c>
      <c r="B2" s="171">
        <v>0</v>
      </c>
      <c r="C2" s="172">
        <v>0</v>
      </c>
      <c r="D2" s="173"/>
      <c r="E2" t="s" s="174">
        <v>423</v>
      </c>
    </row>
    <row r="3" ht="26.05" customHeight="1">
      <c r="A3" t="s" s="175">
        <v>424</v>
      </c>
      <c r="B3" s="176">
        <v>0.0905</v>
      </c>
      <c r="C3" s="177" cm="1">
        <f t="array" ref="C3">A8*B3</f>
        <v>1810</v>
      </c>
      <c r="D3" s="178"/>
      <c r="E3" t="s" s="174">
        <v>425</v>
      </c>
    </row>
    <row r="4" ht="26.05" customHeight="1">
      <c r="A4" t="s" s="175">
        <v>426</v>
      </c>
      <c r="B4" s="176">
        <v>0.1024</v>
      </c>
      <c r="C4" s="177" cm="1">
        <f t="array" ref="C4">A8*B4</f>
        <v>2048</v>
      </c>
      <c r="D4" s="178"/>
      <c r="E4" t="s" s="174">
        <v>427</v>
      </c>
    </row>
    <row r="5" ht="48.4" customHeight="1">
      <c r="A5" t="s" s="175">
        <v>139</v>
      </c>
      <c r="B5" s="176">
        <v>0.1035</v>
      </c>
      <c r="C5" s="177" cm="1">
        <f t="array" ref="C5">A8*B5</f>
        <v>2070</v>
      </c>
      <c r="D5" s="178"/>
      <c r="E5" t="s" s="174">
        <v>428</v>
      </c>
    </row>
    <row r="6" ht="26.05" customHeight="1">
      <c r="A6" t="s" s="175">
        <v>429</v>
      </c>
      <c r="B6" s="179">
        <v>0.12</v>
      </c>
      <c r="C6" s="177" cm="1">
        <f t="array" ref="C6">A8*B6</f>
        <v>2400</v>
      </c>
      <c r="D6" s="178"/>
      <c r="E6" t="s" s="174">
        <v>430</v>
      </c>
    </row>
    <row r="7" ht="26.05" customHeight="1">
      <c r="A7" s="173"/>
      <c r="B7" s="178"/>
      <c r="C7" s="178"/>
      <c r="D7" s="178"/>
      <c r="E7" s="178"/>
    </row>
    <row r="8" ht="26.05" customHeight="1">
      <c r="A8" s="180">
        <v>20000</v>
      </c>
      <c r="B8" s="178"/>
      <c r="C8" s="178"/>
      <c r="D8" s="178"/>
      <c r="E8" s="17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